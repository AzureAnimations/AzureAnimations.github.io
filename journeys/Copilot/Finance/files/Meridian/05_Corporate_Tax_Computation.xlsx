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8505f1bb07f648df" /><Relationship Type="http://schemas.openxmlformats.org/package/2006/relationships/metadata/core-properties" Target="/package/services/metadata/core-properties/052b9050a1f54bf888bcfd53ce9549c9.psmdcp" Id="Rc280d94ec6e24e26" /><Relationship Id="rId2" Type="http://schemas.microsoft.com/office/2020/02/relationships/classificationlabels" Target="docMetadata/LabelInfo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a29d0b961444bb2"/>
    <x:sheet xmlns:r="http://schemas.openxmlformats.org/officeDocument/2006/relationships" name="Assumptions" sheetId="2" r:id="R32199299f1a84c8e"/>
    <x:sheet xmlns:r="http://schemas.openxmlformats.org/officeDocument/2006/relationships" name="Tax_Adjustments" sheetId="3" r:id="Rc4fb25ca0e7e4585"/>
    <x:sheet xmlns:r="http://schemas.openxmlformats.org/officeDocument/2006/relationships" name="Tax_Computation" sheetId="4" r:id="R73e13f542b274b87"/>
    <x:sheet xmlns:r="http://schemas.openxmlformats.org/officeDocument/2006/relationships" name="Review_Summary" sheetId="5" r:id="R23e236734204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.00"/>
    <x:numFmt numFmtId="202" formatCode="0.0%"/>
  </x:numFmts>
  <x:fonts count="4">
    <x:font>
      <x:sz val="11"/>
      <x:name val="Carlito"/>
    </x:font>
    <x:font>
      <x:b/>
      <x:sz val="16"/>
      <x:color rgb="1F4E78"/>
      <x:name val="Carlito"/>
    </x:font>
    <x:font>
      <x:i/>
      <x:sz val="11"/>
      <x:color rgb="666666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2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fa37b4d20416c" /><Relationship Type="http://schemas.openxmlformats.org/officeDocument/2006/relationships/theme" Target="/xl/theme/theme1.xml" Id="Rc20711c2ffdf4d7e" /><Relationship Type="http://schemas.openxmlformats.org/officeDocument/2006/relationships/sharedStrings" Target="/xl/sharedStrings.xml" Id="Re0c7807d021545c2" /><Relationship Type="http://schemas.openxmlformats.org/officeDocument/2006/relationships/worksheet" Target="/xl/worksheets/sheet1.xml" Id="Raa29d0b961444bb2" /><Relationship Type="http://schemas.openxmlformats.org/officeDocument/2006/relationships/worksheet" Target="/xl/worksheets/sheet2.xml" Id="R32199299f1a84c8e" /><Relationship Type="http://schemas.openxmlformats.org/officeDocument/2006/relationships/worksheet" Target="/xl/worksheets/sheet3.xml" Id="Rc4fb25ca0e7e4585" /><Relationship Type="http://schemas.openxmlformats.org/officeDocument/2006/relationships/worksheet" Target="/xl/worksheets/sheet4.xml" Id="R73e13f542b274b87" /><Relationship Type="http://schemas.openxmlformats.org/officeDocument/2006/relationships/worksheet" Target="/xl/worksheets/sheet5.xml" Id="R23e2367342044968" /></Relationships>
</file>

<file path=xl/tables/table1.xml><?xml version="1.0" encoding="utf-8"?>
<x:table xmlns:x="http://schemas.openxmlformats.org/spreadsheetml/2006/main" id="1" name="TaxAdjustmentsTable" displayName="TaxAdjustmentsTable" ref="A4:I15" headerRowCount="1">
  <x:tableColumns count="9">
    <x:tableColumn id="1" name="Code"/>
    <x:tableColumn id="2" name="Item"/>
    <x:tableColumn id="3" name="Accounting Amount"/>
    <x:tableColumn id="4" name="Proposed Adjustment"/>
    <x:tableColumn id="5" name="Treatment"/>
    <x:tableColumn id="6" name="Evidence Required"/>
    <x:tableColumn id="7" name="Evidence Status"/>
    <x:tableColumn id="8" name="Adjustment Amount"/>
    <x:tableColumn id="9" name="Adjusted Impa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5e0b09273714d6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30" customHeight="1">
      <x:c r="A1" s="4" t="str">
        <x:v>Corporate Tax Computation - Training Case</x:v>
      </x:c>
      <x:c r="B1" s="4"/>
    </x:row>
    <x:row r="2" ht="30" customHeight="1">
      <x:c r="A2" s="9" t="str">
        <x:v>Meridian Retail Group | Synthetic data</x:v>
      </x:c>
      <x:c r="B2" s="9"/>
    </x:row>
    <x:row r="4" ht="28" customHeight="1">
      <x:c r="A4" s="16" t="str">
        <x:v>Section</x:v>
      </x:c>
      <x:c r="B4" s="16" t="str">
        <x:v>Details</x:v>
      </x:c>
    </x:row>
    <x:row r="5">
      <x:c r="A5" t="str">
        <x:v>Scenario</x:v>
      </x:c>
      <x:c r="B5" t="str">
        <x:v>Prepare a training tax review using the stated assumptions, not real tax advice.</x:v>
      </x:c>
    </x:row>
    <x:row r="6">
      <x:c r="A6" t="str">
        <x:v>Task</x:v>
      </x:c>
      <x:c r="B6" t="str">
        <x:v>Classify each item, calculate adjusted profit, identify missing evidence, and draft review points.</x:v>
      </x:c>
    </x:row>
    <x:row r="7">
      <x:c r="A7" t="str">
        <x:v>Important</x:v>
      </x:c>
      <x:c r="B7" t="str">
        <x:v>Rates and treatments are fictional simplified assumptions for learning only.</x:v>
      </x:c>
    </x:row>
    <x:row r="8">
      <x:c r="A8" t="str">
        <x:v>Output</x:v>
      </x:c>
      <x:c r="B8" t="str">
        <x:v>Use the Review_Summary sheet to capture conclusions and follow-up questions.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 ht="30" customHeight="1">
      <x:c r="A1" s="4" t="str">
        <x:v>Training Assumptions</x:v>
      </x:c>
      <x:c r="B1" s="4"/>
      <x:c r="C1" s="4"/>
    </x:row>
    <x:row r="2" ht="30" customHeight="1">
      <x:c r="A2" s="9" t="str">
        <x:v>These are simplified fictional assumptions and must not be used for actual filing.</x:v>
      </x:c>
      <x:c r="B2" s="9"/>
      <x:c r="C2" s="9"/>
    </x:row>
    <x:row r="4" ht="28" customHeight="1">
      <x:c r="A4" s="16" t="str">
        <x:v>Assumption</x:v>
      </x:c>
      <x:c r="B4" s="16" t="str">
        <x:v>Value</x:v>
      </x:c>
      <x:c r="C4" s="16" t="str">
        <x:v>Notes</x:v>
      </x:c>
    </x:row>
    <x:row r="5">
      <x:c r="A5" t="str">
        <x:v>Headline training tax rate</x:v>
      </x:c>
      <x:c r="B5" s="22" t="n">
        <x:v>0.17</x:v>
      </x:c>
      <x:c r="C5" t="str">
        <x:v>Applied to chargeable income</x:v>
      </x:c>
    </x:row>
    <x:row r="6">
      <x:c r="A6" t="str">
        <x:v>Entertainment deductible percentage</x:v>
      </x:c>
      <x:c r="B6" s="22" t="n">
        <x:v>0.5</x:v>
      </x:c>
      <x:c r="C6" t="str">
        <x:v>Only with business purpose and attendee evidence</x:v>
      </x:c>
    </x:row>
    <x:row r="7">
      <x:c r="A7" t="str">
        <x:v>Fines and penalties deductible percentage</x:v>
      </x:c>
      <x:c r="B7" s="22" t="n">
        <x:v>0</x:v>
      </x:c>
      <x:c r="C7" t="str">
        <x:v>Assumed non-deductible</x:v>
      </x:c>
    </x:row>
    <x:row r="8">
      <x:c r="A8" t="str">
        <x:v>Approved donations enhanced deduction</x:v>
      </x:c>
      <x:c r="B8" s="22" t="n">
        <x:v>2.5</x:v>
      </x:c>
      <x:c r="C8" t="str">
        <x:v>Training assumption only</x:v>
      </x:c>
    </x:row>
    <x:row r="9">
      <x:c r="A9" t="str">
        <x:v>Capital allowance rate</x:v>
      </x:c>
      <x:c r="B9" s="22" t="n">
        <x:v>0.2</x:v>
      </x:c>
      <x:c r="C9" t="str">
        <x:v>Simplified straight-line training rate</x:v>
      </x:c>
    </x:row>
    <x:row r="10">
      <x:c r="A10" t="str">
        <x:v>Related-party fee deductible percentage</x:v>
      </x:c>
      <x:c r="B10" s="22" t="n">
        <x:v>1</x:v>
      </x:c>
      <x:c r="C10" t="str">
        <x:v>Subject to agreement, benefit and arm’s-length support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0" hidden="0" customWidth="1"/>
    <x:col min="5" max="5" width="20" hidden="0" customWidth="1"/>
    <x:col min="6" max="6" width="42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4" t="str">
        <x:v>Tax Adjustments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9" t="str">
        <x:v>Classify items and review supporting evidence.</x:v>
      </x:c>
      <x:c r="B2" s="9"/>
      <x:c r="C2" s="9"/>
      <x:c r="D2" s="9"/>
      <x:c r="E2" s="9"/>
      <x:c r="F2" s="9"/>
      <x:c r="G2" s="9"/>
      <x:c r="H2" s="9"/>
      <x:c r="I2" s="9"/>
    </x:row>
    <x:row r="4" ht="28" customHeight="1">
      <x:c r="A4" s="16" t="str">
        <x:v>Code</x:v>
      </x:c>
      <x:c r="B4" s="16" t="str">
        <x:v>Item</x:v>
      </x:c>
      <x:c r="C4" s="16" t="str">
        <x:v>Accounting Amount</x:v>
      </x:c>
      <x:c r="D4" s="16" t="str">
        <x:v>Proposed Adjustment</x:v>
      </x:c>
      <x:c r="E4" s="16" t="str">
        <x:v>Treatment</x:v>
      </x:c>
      <x:c r="F4" s="16" t="str">
        <x:v>Evidence Required</x:v>
      </x:c>
      <x:c r="G4" s="16" t="str">
        <x:v>Evidence Status</x:v>
      </x:c>
      <x:c r="H4" s="16" t="str">
        <x:v>Adjustment Amount</x:v>
      </x:c>
      <x:c r="I4" s="16" t="str">
        <x:v>Adjusted Impact</x:v>
      </x:c>
    </x:row>
    <x:row r="5">
      <x:c r="A5" t="str">
        <x:v>PBT</x:v>
      </x:c>
      <x:c r="B5" t="str">
        <x:v>Accounting profit before tax</x:v>
      </x:c>
      <x:c r="C5" s="24" t="n">
        <x:v>5500000</x:v>
      </x:c>
      <x:c r="D5" t="str">
        <x:v>Starting point</x:v>
      </x:c>
      <x:c r="E5" t="str">
        <x:v>Included</x:v>
      </x:c>
      <x:c r="F5" t="str">
        <x:v>Audited trial balance</x:v>
      </x:c>
      <x:c r="G5" t="str">
        <x:v>Provided</x:v>
      </x:c>
      <x:c r="H5" s="24" t="n">
        <x:f>IF(A5="DEP",C5,IF(A5="ENT",C5*(1-Assumptions!$B$6),IF(A5="PEN",C5,IF(A5="DON",C5,IF(A5="CA",C5,IF(A5="PROV",C5,IF(A5="RD",C5,IF(A5="LOSS",C5,0))))))))</x:f>
        <x:v>0</x:v>
      </x:c>
      <x:c r="I5" s="24" t="n">
        <x:f>H5</x:f>
        <x:v>0</x:v>
      </x:c>
    </x:row>
    <x:row r="6">
      <x:c r="A6" t="str">
        <x:v>DEP</x:v>
      </x:c>
      <x:c r="B6" t="str">
        <x:v>Book depreciation</x:v>
      </x:c>
      <x:c r="C6" s="24" t="n">
        <x:v>1200000</x:v>
      </x:c>
      <x:c r="D6" t="str">
        <x:v>Add back</x:v>
      </x:c>
      <x:c r="E6" t="str">
        <x:v>Non-deductible</x:v>
      </x:c>
      <x:c r="F6" t="str">
        <x:v>Fixed asset register</x:v>
      </x:c>
      <x:c r="G6" t="str">
        <x:v>Provided</x:v>
      </x:c>
      <x:c r="H6" s="24" t="n">
        <x:f>IF(A6="DEP",C6,IF(A6="ENT",C6*(1-Assumptions!$B$6),IF(A6="PEN",C6,IF(A6="DON",C6,IF(A6="CA",C6,IF(A6="PROV",C6,IF(A6="RD",C6,IF(A6="LOSS",C6,0))))))))</x:f>
        <x:v>1200000</x:v>
      </x:c>
      <x:c r="I6" s="24" t="n">
        <x:f>H6</x:f>
        <x:v>1200000</x:v>
      </x:c>
    </x:row>
    <x:row r="7">
      <x:c r="A7" t="str">
        <x:v>CA</x:v>
      </x:c>
      <x:c r="B7" t="str">
        <x:v>Capital allowances</x:v>
      </x:c>
      <x:c r="C7" s="24" t="n">
        <x:v>-980000</x:v>
      </x:c>
      <x:c r="D7" t="str">
        <x:v>Deduct</x:v>
      </x:c>
      <x:c r="E7" t="str">
        <x:v>Deductible</x:v>
      </x:c>
      <x:c r="F7" t="str">
        <x:v>Capital allowance schedule</x:v>
      </x:c>
      <x:c r="G7" t="str">
        <x:v>Draft only</x:v>
      </x:c>
      <x:c r="H7" s="24" t="n">
        <x:f>IF(A7="DEP",C7,IF(A7="ENT",C7*(1-Assumptions!$B$6),IF(A7="PEN",C7,IF(A7="DON",C7,IF(A7="CA",C7,IF(A7="PROV",C7,IF(A7="RD",C7,IF(A7="LOSS",C7,0))))))))</x:f>
        <x:v>-980000</x:v>
      </x:c>
      <x:c r="I7" s="24" t="n">
        <x:f>H7</x:f>
        <x:v>-980000</x:v>
      </x:c>
    </x:row>
    <x:row r="8">
      <x:c r="A8" t="str">
        <x:v>ENT</x:v>
      </x:c>
      <x:c r="B8" t="str">
        <x:v>Client entertainment</x:v>
      </x:c>
      <x:c r="C8" s="24" t="n">
        <x:v>310000</x:v>
      </x:c>
      <x:c r="D8" t="str">
        <x:v>Add back 50%</x:v>
      </x:c>
      <x:c r="E8" t="str">
        <x:v>Partly deductible</x:v>
      </x:c>
      <x:c r="F8" t="str">
        <x:v>Receipts, purpose, attendee list</x:v>
      </x:c>
      <x:c r="G8" t="str">
        <x:v>Incomplete</x:v>
      </x:c>
      <x:c r="H8" s="24" t="n">
        <x:f>IF(A8="DEP",C8,IF(A8="ENT",C8*(1-Assumptions!$B$6),IF(A8="PEN",C8,IF(A8="DON",C8,IF(A8="CA",C8,IF(A8="PROV",C8,IF(A8="RD",C8,IF(A8="LOSS",C8,0))))))))</x:f>
        <x:v>155000</x:v>
      </x:c>
      <x:c r="I8" s="24" t="n">
        <x:f>H8</x:f>
        <x:v>155000</x:v>
      </x:c>
    </x:row>
    <x:row r="9">
      <x:c r="A9" t="str">
        <x:v>PEN</x:v>
      </x:c>
      <x:c r="B9" t="str">
        <x:v>Regulatory penalties</x:v>
      </x:c>
      <x:c r="C9" s="24" t="n">
        <x:v>85000</x:v>
      </x:c>
      <x:c r="D9" t="str">
        <x:v>Add back 100%</x:v>
      </x:c>
      <x:c r="E9" t="str">
        <x:v>Non-deductible</x:v>
      </x:c>
      <x:c r="F9" t="str">
        <x:v>Notices and payment proof</x:v>
      </x:c>
      <x:c r="G9" t="str">
        <x:v>Provided</x:v>
      </x:c>
      <x:c r="H9" s="24" t="n">
        <x:f>IF(A9="DEP",C9,IF(A9="ENT",C9*(1-Assumptions!$B$6),IF(A9="PEN",C9,IF(A9="DON",C9,IF(A9="CA",C9,IF(A9="PROV",C9,IF(A9="RD",C9,IF(A9="LOSS",C9,0))))))))</x:f>
        <x:v>85000</x:v>
      </x:c>
      <x:c r="I9" s="24" t="n">
        <x:f>H9</x:f>
        <x:v>85000</x:v>
      </x:c>
    </x:row>
    <x:row r="10">
      <x:c r="A10" t="str">
        <x:v>DON</x:v>
      </x:c>
      <x:c r="B10" t="str">
        <x:v>Approved donation</x:v>
      </x:c>
      <x:c r="C10" s="24" t="n">
        <x:v>-225000</x:v>
      </x:c>
      <x:c r="D10" t="str">
        <x:v>Enhanced deduction</x:v>
      </x:c>
      <x:c r="E10" t="str">
        <x:v>Deductible</x:v>
      </x:c>
      <x:c r="F10" t="str">
        <x:v>Donation receipt</x:v>
      </x:c>
      <x:c r="G10" t="str">
        <x:v>Provided</x:v>
      </x:c>
      <x:c r="H10" s="24" t="n">
        <x:f>IF(A10="DEP",C10,IF(A10="ENT",C10*(1-Assumptions!$B$6),IF(A10="PEN",C10,IF(A10="DON",C10,IF(A10="CA",C10,IF(A10="PROV",C10,IF(A10="RD",C10,IF(A10="LOSS",C10,0))))))))</x:f>
        <x:v>-225000</x:v>
      </x:c>
      <x:c r="I10" s="24" t="n">
        <x:f>H10</x:f>
        <x:v>-225000</x:v>
      </x:c>
    </x:row>
    <x:row r="11">
      <x:c r="A11" t="str">
        <x:v>RPF</x:v>
      </x:c>
      <x:c r="B11" t="str">
        <x:v>Related-party logistics fee</x:v>
      </x:c>
      <x:c r="C11" s="24" t="n">
        <x:v>640000</x:v>
      </x:c>
      <x:c r="D11" t="str">
        <x:v>No adjustment pending support</x:v>
      </x:c>
      <x:c r="E11" t="str">
        <x:v>Potentially deductible</x:v>
      </x:c>
      <x:c r="F11" t="str">
        <x:v>Agreement, benefit evidence, benchmarking</x:v>
      </x:c>
      <x:c r="G11" t="str">
        <x:v>Missing</x:v>
      </x:c>
      <x:c r="H11" s="24" t="n">
        <x:f>IF(A11="DEP",C11,IF(A11="ENT",C11*(1-Assumptions!$B$6),IF(A11="PEN",C11,IF(A11="DON",C11,IF(A11="CA",C11,IF(A11="PROV",C11,IF(A11="RD",C11,IF(A11="LOSS",C11,0))))))))</x:f>
        <x:v>0</x:v>
      </x:c>
      <x:c r="I11" s="24" t="n">
        <x:f>H11</x:f>
        <x:v>0</x:v>
      </x:c>
    </x:row>
    <x:row r="12">
      <x:c r="A12" t="str">
        <x:v>PROV</x:v>
      </x:c>
      <x:c r="B12" t="str">
        <x:v>General inventory provision</x:v>
      </x:c>
      <x:c r="C12" s="24" t="n">
        <x:v>440000</x:v>
      </x:c>
      <x:c r="D12" t="str">
        <x:v>Add back pending specificity</x:v>
      </x:c>
      <x:c r="E12" t="str">
        <x:v>Review required</x:v>
      </x:c>
      <x:c r="F12" t="str">
        <x:v>Ageing, write-down policy, SKU analysis</x:v>
      </x:c>
      <x:c r="G12" t="str">
        <x:v>Incomplete</x:v>
      </x:c>
      <x:c r="H12" s="24" t="n">
        <x:f>IF(A12="DEP",C12,IF(A12="ENT",C12*(1-Assumptions!$B$6),IF(A12="PEN",C12,IF(A12="DON",C12,IF(A12="CA",C12,IF(A12="PROV",C12,IF(A12="RD",C12,IF(A12="LOSS",C12,0))))))))</x:f>
        <x:v>440000</x:v>
      </x:c>
      <x:c r="I12" s="24" t="n">
        <x:f>H12</x:f>
        <x:v>440000</x:v>
      </x:c>
    </x:row>
    <x:row r="13">
      <x:c r="A13" t="str">
        <x:v>FX</x:v>
      </x:c>
      <x:c r="B13" t="str">
        <x:v>Unrealized foreign exchange gain</x:v>
      </x:c>
      <x:c r="C13" s="24" t="n">
        <x:v>-180000</x:v>
      </x:c>
      <x:c r="D13" t="str">
        <x:v>No adjustment assumed</x:v>
      </x:c>
      <x:c r="E13" t="str">
        <x:v>Taxable</x:v>
      </x:c>
      <x:c r="F13" t="str">
        <x:v>FX calculation</x:v>
      </x:c>
      <x:c r="G13" t="str">
        <x:v>Provided</x:v>
      </x:c>
      <x:c r="H13" s="24" t="n">
        <x:f>IF(A13="DEP",C13,IF(A13="ENT",C13*(1-Assumptions!$B$6),IF(A13="PEN",C13,IF(A13="DON",C13,IF(A13="CA",C13,IF(A13="PROV",C13,IF(A13="RD",C13,IF(A13="LOSS",C13,0))))))))</x:f>
        <x:v>0</x:v>
      </x:c>
      <x:c r="I13" s="24" t="n">
        <x:f>H13</x:f>
        <x:v>0</x:v>
      </x:c>
    </x:row>
    <x:row r="14">
      <x:c r="A14" t="str">
        <x:v>RD</x:v>
      </x:c>
      <x:c r="B14" t="str">
        <x:v>Qualifying digital development cost</x:v>
      </x:c>
      <x:c r="C14" s="24" t="n">
        <x:v>-300000</x:v>
      </x:c>
      <x:c r="D14" t="str">
        <x:v>Enhanced deduction assumption</x:v>
      </x:c>
      <x:c r="E14" t="str">
        <x:v>Deductible</x:v>
      </x:c>
      <x:c r="F14" t="str">
        <x:v>Project records and staff time</x:v>
      </x:c>
      <x:c r="G14" t="str">
        <x:v>Incomplete</x:v>
      </x:c>
      <x:c r="H14" s="24" t="n">
        <x:f>IF(A14="DEP",C14,IF(A14="ENT",C14*(1-Assumptions!$B$6),IF(A14="PEN",C14,IF(A14="DON",C14,IF(A14="CA",C14,IF(A14="PROV",C14,IF(A14="RD",C14,IF(A14="LOSS",C14,0))))))))</x:f>
        <x:v>-300000</x:v>
      </x:c>
      <x:c r="I14" s="24" t="n">
        <x:f>H14</x:f>
        <x:v>-300000</x:v>
      </x:c>
    </x:row>
    <x:row r="15">
      <x:c r="A15" t="str">
        <x:v>LOSS</x:v>
      </x:c>
      <x:c r="B15" t="str">
        <x:v>Tax losses brought forward</x:v>
      </x:c>
      <x:c r="C15" s="24" t="n">
        <x:v>-520000</x:v>
      </x:c>
      <x:c r="D15" t="str">
        <x:v>Deduct subject to conditions</x:v>
      </x:c>
      <x:c r="E15" t="str">
        <x:v>Deductible</x:v>
      </x:c>
      <x:c r="F15" t="str">
        <x:v>Prior assessments, ownership test</x:v>
      </x:c>
      <x:c r="G15" t="str">
        <x:v>Provided</x:v>
      </x:c>
      <x:c r="H15" s="24" t="n">
        <x:f>IF(A15="DEP",C15,IF(A15="ENT",C15*(1-Assumptions!$B$6),IF(A15="PEN",C15,IF(A15="DON",C15,IF(A15="CA",C15,IF(A15="PROV",C15,IF(A15="RD",C15,IF(A15="LOSS",C15,0))))))))</x:f>
        <x:v>-520000</x:v>
      </x:c>
      <x:c r="I15" s="24" t="n">
        <x:f>H15</x:f>
        <x:v>-520000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5e0b09273714d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</x:cols>
  <x:sheetData>
    <x:row r="1" ht="30" customHeight="1">
      <x:c r="A1" s="4" t="str">
        <x:v>Summary Tax Computation</x:v>
      </x:c>
      <x:c r="B1" s="4"/>
    </x:row>
    <x:row r="2" ht="30" customHeight="1">
      <x:c r="A2" s="9" t="str">
        <x:v>Formula-driven summary based on training assumptions.</x:v>
      </x:c>
      <x:c r="B2" s="9"/>
    </x:row>
    <x:row r="4" ht="28" customHeight="1">
      <x:c r="A4" s="16" t="str">
        <x:v>Line item</x:v>
      </x:c>
      <x:c r="B4" s="16" t="str">
        <x:v>Amount / Rate</x:v>
      </x:c>
    </x:row>
    <x:row r="5">
      <x:c r="A5" t="str">
        <x:v>Accounting profit before tax</x:v>
      </x:c>
      <x:c r="B5" s="24" t="n">
        <x:v>5500000</x:v>
      </x:c>
    </x:row>
    <x:row r="6">
      <x:c r="A6" t="str">
        <x:v>Net tax adjustments</x:v>
      </x:c>
      <x:c r="B6" s="24" t="n">
        <x:f>SUM(Tax_Adjustments!H5:H15)</x:f>
        <x:v>-145000</x:v>
      </x:c>
    </x:row>
    <x:row r="7">
      <x:c r="A7" t="str">
        <x:v>Estimated chargeable income</x:v>
      </x:c>
      <x:c r="B7" s="24" t="n">
        <x:f>B5+B6</x:f>
        <x:v>5355000</x:v>
      </x:c>
    </x:row>
    <x:row r="8">
      <x:c r="A8" t="str">
        <x:v>Training tax rate</x:v>
      </x:c>
      <x:c r="B8" s="24" t="n">
        <x:f>Assumptions!B5</x:f>
        <x:v>0.17</x:v>
      </x:c>
    </x:row>
    <x:row r="9">
      <x:c r="A9" t="str">
        <x:v>Estimated tax before credits</x:v>
      </x:c>
      <x:c r="B9" s="24" t="n">
        <x:f>B7*B8</x:f>
        <x:v>910350.0000000001</x:v>
      </x:c>
    </x:row>
    <x:row r="10">
      <x:c r="A10" t="str">
        <x:v>Less: training tax credit</x:v>
      </x:c>
      <x:c r="B10" s="24" t="n">
        <x:v>-75000</x:v>
      </x:c>
    </x:row>
    <x:row r="11">
      <x:c r="A11" t="str">
        <x:v>Estimated current tax</x:v>
      </x:c>
      <x:c r="B11" s="24" t="n">
        <x:f>B9+B10</x:f>
        <x:v>835350.0000000001</x:v>
      </x:c>
    </x:row>
    <x:row r="12">
      <x:c r="A12" t="str">
        <x:v>Effective tax rate</x:v>
      </x:c>
      <x:c r="B12" s="26" t="n">
        <x:f>B11/B5</x:f>
        <x:v>0.1518818181818182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38" hidden="0" customWidth="1"/>
    <x:col min="5" max="5" width="38" hidden="0" customWidth="1"/>
  </x:cols>
  <x:sheetData>
    <x:row r="1" ht="30" customHeight="1">
      <x:c r="A1" s="4" t="str">
        <x:v>Tax Review Summary</x:v>
      </x:c>
      <x:c r="B1" s="4"/>
      <x:c r="C1" s="4"/>
      <x:c r="D1" s="4"/>
      <x:c r="E1" s="4"/>
    </x:row>
    <x:row r="2" ht="30" customHeight="1">
      <x:c r="A2" s="9" t="str">
        <x:v>Complete conclusions and next actions.</x:v>
      </x:c>
      <x:c r="B2" s="9"/>
      <x:c r="C2" s="9"/>
      <x:c r="D2" s="9"/>
      <x:c r="E2" s="9"/>
    </x:row>
    <x:row r="4" ht="28" customHeight="1">
      <x:c r="A4" s="16" t="str">
        <x:v>Area</x:v>
      </x:c>
      <x:c r="B4" s="16" t="str">
        <x:v>Priority</x:v>
      </x:c>
      <x:c r="C4" s="16" t="str">
        <x:v>Observation</x:v>
      </x:c>
      <x:c r="D4" s="16" t="str">
        <x:v>Conclusion</x:v>
      </x:c>
      <x:c r="E4" s="16" t="str">
        <x:v>Next action</x:v>
      </x:c>
    </x:row>
    <x:row r="5">
      <x:c r="A5" t="str">
        <x:v>Related-party services</x:v>
      </x:c>
      <x:c r="B5" t="str">
        <x:v>High</x:v>
      </x:c>
      <x:c r="C5" t="str">
        <x:v>Agreement and benchmarking missing</x:v>
      </x:c>
      <x:c r="D5" t="str"/>
      <x:c r="E5" t="str"/>
    </x:row>
    <x:row r="6">
      <x:c r="A6" t="str">
        <x:v>Inventory provision</x:v>
      </x:c>
      <x:c r="B6" t="str">
        <x:v>Medium</x:v>
      </x:c>
      <x:c r="C6" t="str">
        <x:v>Specific SKU support incomplete</x:v>
      </x:c>
      <x:c r="D6" t="str"/>
      <x:c r="E6" t="str"/>
    </x:row>
    <x:row r="7">
      <x:c r="A7" t="str">
        <x:v>Entertainment</x:v>
      </x:c>
      <x:c r="B7" t="str">
        <x:v>Medium</x:v>
      </x:c>
      <x:c r="C7" t="str">
        <x:v>Receipts and attendee evidence incomplete</x:v>
      </x:c>
      <x:c r="D7" t="str"/>
      <x:c r="E7" t="str"/>
    </x:row>
    <x:row r="8">
      <x:c r="A8" t="str">
        <x:v>Digital development</x:v>
      </x:c>
      <x:c r="B8" t="str">
        <x:v>Medium</x:v>
      </x:c>
      <x:c r="C8" t="str">
        <x:v>Project and staff-time evidence incomplete</x:v>
      </x:c>
      <x:c r="D8" t="str"/>
      <x:c r="E8" t="str"/>
    </x:row>
  </x:sheetData>
  <x:mergeCells>
    <x:mergeCell ref="A1:E1"/>
    <x:mergeCell ref="A2:E2"/>
  </x:mergeCells>
  <x:pageMargins left="0.7" right="0.7" top="0.75" bottom="0.75" header="0.3" footer="0.3"/>
</x: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