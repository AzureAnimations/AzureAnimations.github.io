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613"/>
  <workbookPr filterPrivacy="1"/>
  <xr:revisionPtr revIDLastSave="107" documentId="11_F49075F89F23B20D016A0FA17EA66BB617A0249E" xr6:coauthVersionLast="47" xr6:coauthVersionMax="47" xr10:uidLastSave="{ADDB413E-7156-48D0-BBC2-036B0ADF2AEA}"/>
  <bookViews>
    <workbookView xWindow="0" yWindow="0" windowWidth="0" windowHeight="0" xr2:uid="{00000000-000D-0000-FFFF-FFFF00000000}"/>
  </bookViews>
  <sheets>
    <sheet name="Start Here" sheetId="2" r:id="rId1"/>
    <sheet name="Guest Feedback" sheetId="3" r:id="rId2"/>
    <sheet name="Segment Summary" sheetId="4" r:id="rId3"/>
    <sheet name="Analysis Questions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4" l="1"/>
  <c r="B9" i="4"/>
  <c r="C8" i="4"/>
  <c r="B8" i="4"/>
  <c r="C7" i="4"/>
  <c r="B7" i="4"/>
  <c r="C6" i="4"/>
  <c r="B6" i="4"/>
  <c r="C5" i="4"/>
  <c r="B5" i="4"/>
</calcChain>
</file>

<file path=xl/sharedStrings.xml><?xml version="1.0" encoding="utf-8"?>
<sst xmlns="http://schemas.openxmlformats.org/spreadsheetml/2006/main" count="1322" uniqueCount="270">
  <si>
    <t>Hotel Guest Experience</t>
  </si>
  <si>
    <t>Focused learner file 2 of 5. Analyse guest feedback without over-weighting segments, channels, tiers, or room types. Fictional data.</t>
  </si>
  <si>
    <t>Business question</t>
  </si>
  <si>
    <t>Which guest-experience pressures are repeated, and which are isolated?</t>
  </si>
  <si>
    <t>Bias risk</t>
  </si>
  <si>
    <t>Groups have unequal sample sizes. Compare rates and averages, not counts only.</t>
  </si>
  <si>
    <t>Sensitive proxy warning</t>
  </si>
  <si>
    <t>Loyalty tier, room type, channel, and segment do not define guest value.</t>
  </si>
  <si>
    <t>Missing values</t>
  </si>
  <si>
    <t>Some wait-time reports are blank. Blank is not zero.</t>
  </si>
  <si>
    <t>Use with Copilot Chat</t>
  </si>
  <si>
    <t>Attach this file to challenge a performance story from another file.</t>
  </si>
  <si>
    <t>Anomalies</t>
  </si>
  <si>
    <t>Parking, breakfast, and pool complaints contain planted outliers.</t>
  </si>
  <si>
    <t>Core output</t>
  </si>
  <si>
    <t>A balanced guest-experience brief with sample-size caveats.</t>
  </si>
  <si>
    <t>Guest Feedback</t>
  </si>
  <si>
    <t>180 synthetic records with uneven samples, missing waits, and ambiguous issues.</t>
  </si>
  <si>
    <t>Feedback ID</t>
  </si>
  <si>
    <t>Stay Date</t>
  </si>
  <si>
    <t>Guest Segment</t>
  </si>
  <si>
    <t>Booking Channel</t>
  </si>
  <si>
    <t>Loyalty Tier</t>
  </si>
  <si>
    <t>Room Type</t>
  </si>
  <si>
    <t>Overall Rating</t>
  </si>
  <si>
    <t>Cleanliness</t>
  </si>
  <si>
    <t>Food Rating</t>
  </si>
  <si>
    <t>Facility Rating</t>
  </si>
  <si>
    <t>Check-in Rating</t>
  </si>
  <si>
    <t>Primary Issue</t>
  </si>
  <si>
    <t>Facility Mentioned</t>
  </si>
  <si>
    <t>Wait Min Reported</t>
  </si>
  <si>
    <t>FB-0001</t>
  </si>
  <si>
    <t>Business</t>
  </si>
  <si>
    <t>Direct</t>
  </si>
  <si>
    <t>None</t>
  </si>
  <si>
    <t>Standard</t>
  </si>
  <si>
    <t>Breakfast variety</t>
  </si>
  <si>
    <t>Restaurant</t>
  </si>
  <si>
    <t>FB-0002</t>
  </si>
  <si>
    <t>Leisure Couple</t>
  </si>
  <si>
    <t>Event Block</t>
  </si>
  <si>
    <t>Silver</t>
  </si>
  <si>
    <t>Accessible</t>
  </si>
  <si>
    <t>Lobby seating</t>
  </si>
  <si>
    <t>Lobby</t>
  </si>
  <si>
    <t>FB-0003</t>
  </si>
  <si>
    <t>Family</t>
  </si>
  <si>
    <t>Corporate</t>
  </si>
  <si>
    <t>Gold</t>
  </si>
  <si>
    <t>Suite</t>
  </si>
  <si>
    <t>Gym equipment</t>
  </si>
  <si>
    <t>FB-0004</t>
  </si>
  <si>
    <t>Conference</t>
  </si>
  <si>
    <t>OTA</t>
  </si>
  <si>
    <t>Platinum</t>
  </si>
  <si>
    <t>Deluxe</t>
  </si>
  <si>
    <t>Slow check-in</t>
  </si>
  <si>
    <t>Pool</t>
  </si>
  <si>
    <t>FB-0005</t>
  </si>
  <si>
    <t>Solo</t>
  </si>
  <si>
    <t>Noise</t>
  </si>
  <si>
    <t>Front Desk</t>
  </si>
  <si>
    <t>FB-0006</t>
  </si>
  <si>
    <t>Room</t>
  </si>
  <si>
    <t>FB-0007</t>
  </si>
  <si>
    <t>Room not ready</t>
  </si>
  <si>
    <t>Carpark</t>
  </si>
  <si>
    <t>FB-0008</t>
  </si>
  <si>
    <t>Cleaning delay</t>
  </si>
  <si>
    <t>Gym</t>
  </si>
  <si>
    <t>FB-0009</t>
  </si>
  <si>
    <t>Parking full</t>
  </si>
  <si>
    <t>Housekeeping</t>
  </si>
  <si>
    <t>FB-0010</t>
  </si>
  <si>
    <t>Pool queue</t>
  </si>
  <si>
    <t>FB-0011</t>
  </si>
  <si>
    <t>FB-0012</t>
  </si>
  <si>
    <t>FB-0013</t>
  </si>
  <si>
    <t>FB-0014</t>
  </si>
  <si>
    <t>FB-0015</t>
  </si>
  <si>
    <t>FB-0016</t>
  </si>
  <si>
    <t>FB-0017</t>
  </si>
  <si>
    <t>FB-0018</t>
  </si>
  <si>
    <t>FB-0019</t>
  </si>
  <si>
    <t>FB-0020</t>
  </si>
  <si>
    <t>FB-0021</t>
  </si>
  <si>
    <t>FB-0022</t>
  </si>
  <si>
    <t>FB-0023</t>
  </si>
  <si>
    <t>FB-0024</t>
  </si>
  <si>
    <t>FB-0025</t>
  </si>
  <si>
    <t>FB-0026</t>
  </si>
  <si>
    <t>FB-0027</t>
  </si>
  <si>
    <t>FB-0028</t>
  </si>
  <si>
    <t>FB-0029</t>
  </si>
  <si>
    <t>FB-0030</t>
  </si>
  <si>
    <t>FB-0031</t>
  </si>
  <si>
    <t>FB-0032</t>
  </si>
  <si>
    <t>FB-0033</t>
  </si>
  <si>
    <t>FB-0034</t>
  </si>
  <si>
    <t>FB-0035</t>
  </si>
  <si>
    <t>FB-0036</t>
  </si>
  <si>
    <t>FB-0037</t>
  </si>
  <si>
    <t>FB-0038</t>
  </si>
  <si>
    <t>FB-0039</t>
  </si>
  <si>
    <t>FB-0040</t>
  </si>
  <si>
    <t>FB-0041</t>
  </si>
  <si>
    <t>FB-0042</t>
  </si>
  <si>
    <t>FB-0043</t>
  </si>
  <si>
    <t>FB-0044</t>
  </si>
  <si>
    <t>FB-0045</t>
  </si>
  <si>
    <t>FB-0046</t>
  </si>
  <si>
    <t>FB-0047</t>
  </si>
  <si>
    <t>FB-0048</t>
  </si>
  <si>
    <t>FB-0049</t>
  </si>
  <si>
    <t>FB-0050</t>
  </si>
  <si>
    <t>FB-0051</t>
  </si>
  <si>
    <t>FB-0052</t>
  </si>
  <si>
    <t>FB-0053</t>
  </si>
  <si>
    <t>FB-0054</t>
  </si>
  <si>
    <t>FB-0055</t>
  </si>
  <si>
    <t>FB-0056</t>
  </si>
  <si>
    <t>FB-0057</t>
  </si>
  <si>
    <t>FB-0058</t>
  </si>
  <si>
    <t>FB-0059</t>
  </si>
  <si>
    <t>FB-0060</t>
  </si>
  <si>
    <t>FB-0061</t>
  </si>
  <si>
    <t>FB-0062</t>
  </si>
  <si>
    <t>FB-0063</t>
  </si>
  <si>
    <t>FB-0064</t>
  </si>
  <si>
    <t>FB-0065</t>
  </si>
  <si>
    <t>FB-0066</t>
  </si>
  <si>
    <t>FB-0067</t>
  </si>
  <si>
    <t>FB-0068</t>
  </si>
  <si>
    <t>FB-0069</t>
  </si>
  <si>
    <t>FB-0070</t>
  </si>
  <si>
    <t>FB-0071</t>
  </si>
  <si>
    <t>FB-0072</t>
  </si>
  <si>
    <t>FB-0073</t>
  </si>
  <si>
    <t>FB-0074</t>
  </si>
  <si>
    <t>FB-0075</t>
  </si>
  <si>
    <t>FB-0076</t>
  </si>
  <si>
    <t>FB-0077</t>
  </si>
  <si>
    <t>FB-0078</t>
  </si>
  <si>
    <t>FB-0079</t>
  </si>
  <si>
    <t>FB-0080</t>
  </si>
  <si>
    <t>FB-0081</t>
  </si>
  <si>
    <t>FB-0082</t>
  </si>
  <si>
    <t>FB-0083</t>
  </si>
  <si>
    <t>FB-0084</t>
  </si>
  <si>
    <t>FB-0085</t>
  </si>
  <si>
    <t>FB-0086</t>
  </si>
  <si>
    <t>FB-0087</t>
  </si>
  <si>
    <t>FB-0088</t>
  </si>
  <si>
    <t>FB-0089</t>
  </si>
  <si>
    <t>FB-0090</t>
  </si>
  <si>
    <t>FB-0091</t>
  </si>
  <si>
    <t>FB-0092</t>
  </si>
  <si>
    <t>FB-0093</t>
  </si>
  <si>
    <t>FB-0094</t>
  </si>
  <si>
    <t>FB-0095</t>
  </si>
  <si>
    <t>FB-0096</t>
  </si>
  <si>
    <t>FB-0097</t>
  </si>
  <si>
    <t>FB-0098</t>
  </si>
  <si>
    <t>FB-0099</t>
  </si>
  <si>
    <t>FB-0100</t>
  </si>
  <si>
    <t>FB-0101</t>
  </si>
  <si>
    <t>FB-0102</t>
  </si>
  <si>
    <t>FB-0103</t>
  </si>
  <si>
    <t>FB-0104</t>
  </si>
  <si>
    <t>FB-0105</t>
  </si>
  <si>
    <t>FB-0106</t>
  </si>
  <si>
    <t>FB-0107</t>
  </si>
  <si>
    <t>FB-0108</t>
  </si>
  <si>
    <t>FB-0109</t>
  </si>
  <si>
    <t>FB-0110</t>
  </si>
  <si>
    <t>FB-0111</t>
  </si>
  <si>
    <t>FB-0112</t>
  </si>
  <si>
    <t>FB-0113</t>
  </si>
  <si>
    <t>FB-0114</t>
  </si>
  <si>
    <t>FB-0115</t>
  </si>
  <si>
    <t>FB-0116</t>
  </si>
  <si>
    <t>FB-0117</t>
  </si>
  <si>
    <t>FB-0118</t>
  </si>
  <si>
    <t>FB-0119</t>
  </si>
  <si>
    <t>FB-0120</t>
  </si>
  <si>
    <t>FB-0121</t>
  </si>
  <si>
    <t>FB-0122</t>
  </si>
  <si>
    <t>FB-0123</t>
  </si>
  <si>
    <t>FB-0124</t>
  </si>
  <si>
    <t>FB-0125</t>
  </si>
  <si>
    <t>FB-0126</t>
  </si>
  <si>
    <t>FB-0127</t>
  </si>
  <si>
    <t>FB-0128</t>
  </si>
  <si>
    <t>FB-0129</t>
  </si>
  <si>
    <t>FB-0130</t>
  </si>
  <si>
    <t>FB-0131</t>
  </si>
  <si>
    <t>FB-0132</t>
  </si>
  <si>
    <t>FB-0133</t>
  </si>
  <si>
    <t>FB-0134</t>
  </si>
  <si>
    <t>FB-0135</t>
  </si>
  <si>
    <t>FB-0136</t>
  </si>
  <si>
    <t>FB-0137</t>
  </si>
  <si>
    <t>FB-0138</t>
  </si>
  <si>
    <t>FB-0139</t>
  </si>
  <si>
    <t>FB-0140</t>
  </si>
  <si>
    <t>FB-0141</t>
  </si>
  <si>
    <t>FB-0142</t>
  </si>
  <si>
    <t>FB-0143</t>
  </si>
  <si>
    <t>FB-0144</t>
  </si>
  <si>
    <t>FB-0145</t>
  </si>
  <si>
    <t>FB-0146</t>
  </si>
  <si>
    <t>FB-0147</t>
  </si>
  <si>
    <t>FB-0148</t>
  </si>
  <si>
    <t>FB-0149</t>
  </si>
  <si>
    <t>FB-0150</t>
  </si>
  <si>
    <t>FB-0151</t>
  </si>
  <si>
    <t>FB-0152</t>
  </si>
  <si>
    <t>FB-0153</t>
  </si>
  <si>
    <t>FB-0154</t>
  </si>
  <si>
    <t>FB-0155</t>
  </si>
  <si>
    <t>FB-0156</t>
  </si>
  <si>
    <t>FB-0157</t>
  </si>
  <si>
    <t>FB-0158</t>
  </si>
  <si>
    <t>FB-0159</t>
  </si>
  <si>
    <t>FB-0160</t>
  </si>
  <si>
    <t>FB-0161</t>
  </si>
  <si>
    <t>FB-0162</t>
  </si>
  <si>
    <t>FB-0163</t>
  </si>
  <si>
    <t>FB-0164</t>
  </si>
  <si>
    <t>FB-0165</t>
  </si>
  <si>
    <t>FB-0166</t>
  </si>
  <si>
    <t>FB-0167</t>
  </si>
  <si>
    <t>FB-0168</t>
  </si>
  <si>
    <t>FB-0169</t>
  </si>
  <si>
    <t>FB-0170</t>
  </si>
  <si>
    <t>FB-0171</t>
  </si>
  <si>
    <t>FB-0172</t>
  </si>
  <si>
    <t>FB-0173</t>
  </si>
  <si>
    <t>FB-0174</t>
  </si>
  <si>
    <t>FB-0175</t>
  </si>
  <si>
    <t>FB-0176</t>
  </si>
  <si>
    <t>FB-0177</t>
  </si>
  <si>
    <t>FB-0178</t>
  </si>
  <si>
    <t>FB-0179</t>
  </si>
  <si>
    <t>FB-0180</t>
  </si>
  <si>
    <t>Segment Summary</t>
  </si>
  <si>
    <t>Live formulas for sample size and average rating. Use these to challenge count-based conclusions.</t>
  </si>
  <si>
    <t>Response Count</t>
  </si>
  <si>
    <t>Average Overall Rating</t>
  </si>
  <si>
    <t>Analysis Questions</t>
  </si>
  <si>
    <t>Use the raw feedback and the live segment summary together.</t>
  </si>
  <si>
    <t>Stage</t>
  </si>
  <si>
    <t>Prompt</t>
  </si>
  <si>
    <t>Verification</t>
  </si>
  <si>
    <t>Pattern</t>
  </si>
  <si>
    <t>Which issues repeat across many records?</t>
  </si>
  <si>
    <t>Show counts and average ratings.</t>
  </si>
  <si>
    <t>Sample size</t>
  </si>
  <si>
    <t>Which segment appears worst, and is that conclusion stable after checking response count?</t>
  </si>
  <si>
    <t>Report count and average together.</t>
  </si>
  <si>
    <t>Missing data</t>
  </si>
  <si>
    <t>How should blank wait times affect the analysis?</t>
  </si>
  <si>
    <t>Do not treat blanks as zero.</t>
  </si>
  <si>
    <t>Bias check</t>
  </si>
  <si>
    <t>Did the analysis imply loyalty tier, room type, channel, or segment deserves different service?</t>
  </si>
  <si>
    <t>Remove value judgements and proxy bias.</t>
  </si>
  <si>
    <t>Output</t>
  </si>
  <si>
    <t>Draft a guest-experience brief with three pressures and one positive signal.</t>
  </si>
  <si>
    <t>Separate broad patterns from isolated incidents.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</si>
</sst>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\ yyyy"/>
    <numFmt numFmtId="165" formatCode="0.0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5EBD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2F75B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3" borderId="0" xfId="0" applyFill="1" applyAlignment="1">
      <alignment wrapText="1"/>
    </xf>
    <xf numFmtId="0" fontId="0" fillId="4" borderId="0" xfId="0" applyFill="1"/>
    <xf numFmtId="0" fontId="3" fillId="4" borderId="0" xfId="0" applyFont="1" applyFill="1"/>
    <xf numFmtId="0" fontId="0" fillId="0" borderId="0" xfId="0" applyAlignment="1">
      <alignment wrapText="1"/>
    </xf>
    <xf numFmtId="0" fontId="1" fillId="5" borderId="0" xfId="0" applyFont="1" applyFill="1" applyAlignment="1">
      <alignment wrapText="1"/>
    </xf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2" fillId="2" borderId="0" xfId="0" applyFont="1" applyFill="1" applyAlignment="1"/>
  </cellXfs>
  <cellStyles count="1">
    <cellStyle name="Normal" xfId="0" builtinId="0"/>
  </cellStyles>
  <dxfs count="8"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4" formatCode="dd\ mmm\ 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2F75B5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F44F68-4685-4A60-ACCA-88688BE273FC}" name="tblGuestFeedback" displayName="tblGuestFeedback" ref="A4:N184" totalsRowShown="0" headerRowDxfId="6">
  <autoFilter ref="A4:N184" xr:uid="{1BF44F68-4685-4A60-ACCA-88688BE273FC}"/>
  <tableColumns count="14">
    <tableColumn id="1" xr3:uid="{2D1B3137-4B8B-4FE6-96BB-8CBC5A4BAA30}" name="Feedback ID"/>
    <tableColumn id="2" xr3:uid="{3FCC1CC1-E6BE-4EFB-AFE0-13FA9C7932DA}" name="Stay Date" dataDxfId="5"/>
    <tableColumn id="3" xr3:uid="{4F291D27-9732-4D8A-A3FE-2AD39A4FAA09}" name="Guest Segment"/>
    <tableColumn id="4" xr3:uid="{A8E7B265-0118-4816-B578-B72D16B6AEE3}" name="Booking Channel"/>
    <tableColumn id="5" xr3:uid="{503A7FC8-3A1F-4FA4-ADA5-D0F324D0B667}" name="Loyalty Tier"/>
    <tableColumn id="6" xr3:uid="{8E1961F3-F49E-4DE3-9DC8-A68DDF9ECC2C}" name="Room Type"/>
    <tableColumn id="7" xr3:uid="{BAC1C03D-C2D6-42A5-A612-D8A357A97CB9}" name="Overall Rating" dataDxfId="4"/>
    <tableColumn id="8" xr3:uid="{D75EFD07-735B-4C18-99AD-1D153A0AA577}" name="Cleanliness" dataDxfId="3"/>
    <tableColumn id="9" xr3:uid="{5903BA46-1F63-46AA-8436-C069C5F9E8B7}" name="Food Rating" dataDxfId="2"/>
    <tableColumn id="10" xr3:uid="{0BA77995-55E9-4EB0-8387-4AD5F653F39D}" name="Facility Rating" dataDxfId="1"/>
    <tableColumn id="11" xr3:uid="{7B35F2C0-319D-4B26-B836-5C2D0C009ADE}" name="Check-in Rating" dataDxfId="0"/>
    <tableColumn id="12" xr3:uid="{0EACC146-B819-4D1A-B7D0-0697494C1DA7}" name="Primary Issue"/>
    <tableColumn id="13" xr3:uid="{C3992078-0561-46BB-A722-AB53E51944A9}" name="Facility Mentioned"/>
    <tableColumn id="14" xr3:uid="{6B6D87C0-7168-4842-A6AB-B770FA118A19}" name="Wait Min Repor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499CC-8892-4E8A-84A4-8D15DB0FE243}">
  <dimension ref="A1:H10"/>
  <sheetViews>
    <sheetView tabSelected="1" workbookViewId="0"/>
  </sheetViews>
  <sheetFormatPr defaultRowHeight="15"/>
  <cols>
    <col min="1" max="1" width="30.42578125" customWidth="1"/>
    <col min="2" max="2" width="95.28515625" customWidth="1"/>
  </cols>
  <sheetData>
    <row r="1" spans="1:8" ht="30" customHeight="1">
      <c r="A1" s="9" t="s">
        <v>0</v>
      </c>
      <c r="B1" s="9"/>
      <c r="C1" s="9"/>
      <c r="D1" s="9"/>
      <c r="E1" s="9"/>
      <c r="F1" s="9"/>
      <c r="G1" s="9"/>
      <c r="H1" s="9"/>
    </row>
    <row r="2" spans="1:8" ht="27.75" customHeight="1">
      <c r="A2" s="1" t="s">
        <v>1</v>
      </c>
      <c r="B2" s="1"/>
      <c r="C2" s="1"/>
      <c r="D2" s="1"/>
      <c r="E2" s="1"/>
      <c r="F2" s="1"/>
      <c r="G2" s="1"/>
      <c r="H2" s="1"/>
    </row>
    <row r="4" spans="1:8">
      <c r="A4" s="3" t="s">
        <v>2</v>
      </c>
      <c r="B4" s="4" t="s">
        <v>3</v>
      </c>
    </row>
    <row r="5" spans="1:8">
      <c r="A5" s="3" t="s">
        <v>4</v>
      </c>
      <c r="B5" s="4" t="s">
        <v>5</v>
      </c>
    </row>
    <row r="6" spans="1:8">
      <c r="A6" s="3" t="s">
        <v>6</v>
      </c>
      <c r="B6" s="4" t="s">
        <v>7</v>
      </c>
    </row>
    <row r="7" spans="1:8">
      <c r="A7" s="3" t="s">
        <v>8</v>
      </c>
      <c r="B7" s="4" t="s">
        <v>9</v>
      </c>
    </row>
    <row r="8" spans="1:8">
      <c r="A8" s="3" t="s">
        <v>10</v>
      </c>
      <c r="B8" s="4" t="s">
        <v>11</v>
      </c>
    </row>
    <row r="9" spans="1:8">
      <c r="A9" s="3" t="s">
        <v>12</v>
      </c>
      <c r="B9" s="4" t="s">
        <v>13</v>
      </c>
    </row>
    <row r="10" spans="1:8">
      <c r="A10" s="3" t="s">
        <v>14</v>
      </c>
      <c r="B10" s="4" t="s">
        <v>15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E05DE-5454-4F0F-BABF-CDCA8DA2557C}">
  <dimension ref="A1:N184"/>
  <sheetViews>
    <sheetView workbookViewId="0"/>
  </sheetViews>
  <sheetFormatPr defaultRowHeight="15"/>
  <cols>
    <col min="1" max="1" width="13.85546875" bestFit="1" customWidth="1"/>
    <col min="2" max="2" width="12.28515625" bestFit="1" customWidth="1"/>
    <col min="3" max="3" width="16.42578125" bestFit="1" customWidth="1"/>
    <col min="4" max="4" width="18" bestFit="1" customWidth="1"/>
    <col min="5" max="5" width="13.28515625" bestFit="1" customWidth="1"/>
    <col min="6" max="6" width="13" bestFit="1" customWidth="1"/>
    <col min="7" max="7" width="15.42578125" bestFit="1" customWidth="1"/>
    <col min="8" max="8" width="13" bestFit="1" customWidth="1"/>
    <col min="9" max="9" width="13.5703125" bestFit="1" customWidth="1"/>
    <col min="10" max="10" width="15.42578125" bestFit="1" customWidth="1"/>
    <col min="11" max="11" width="16.7109375" bestFit="1" customWidth="1"/>
    <col min="12" max="13" width="24.7109375" customWidth="1"/>
    <col min="14" max="14" width="20" bestFit="1" customWidth="1"/>
  </cols>
  <sheetData>
    <row r="1" spans="1:14" ht="30" customHeight="1">
      <c r="A1" s="9" t="s">
        <v>16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27.75" customHeight="1">
      <c r="A2" s="1" t="s">
        <v>17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4" spans="1:14" ht="27.75" customHeight="1">
      <c r="A4" s="5" t="s">
        <v>18</v>
      </c>
      <c r="B4" s="5" t="s">
        <v>19</v>
      </c>
      <c r="C4" s="5" t="s">
        <v>20</v>
      </c>
      <c r="D4" s="5" t="s">
        <v>21</v>
      </c>
      <c r="E4" s="5" t="s">
        <v>22</v>
      </c>
      <c r="F4" s="5" t="s">
        <v>23</v>
      </c>
      <c r="G4" s="5" t="s">
        <v>24</v>
      </c>
      <c r="H4" s="5" t="s">
        <v>25</v>
      </c>
      <c r="I4" s="5" t="s">
        <v>26</v>
      </c>
      <c r="J4" s="5" t="s">
        <v>27</v>
      </c>
      <c r="K4" s="5" t="s">
        <v>28</v>
      </c>
      <c r="L4" s="5" t="s">
        <v>29</v>
      </c>
      <c r="M4" s="5" t="s">
        <v>30</v>
      </c>
      <c r="N4" s="5" t="s">
        <v>31</v>
      </c>
    </row>
    <row r="5" spans="1:14">
      <c r="A5" t="s">
        <v>32</v>
      </c>
      <c r="B5" s="6">
        <v>46388</v>
      </c>
      <c r="C5" t="s">
        <v>33</v>
      </c>
      <c r="D5" t="s">
        <v>34</v>
      </c>
      <c r="E5" t="s">
        <v>35</v>
      </c>
      <c r="F5" t="s">
        <v>36</v>
      </c>
      <c r="G5" s="7">
        <v>2.4</v>
      </c>
      <c r="H5" s="7">
        <v>3.5</v>
      </c>
      <c r="I5" s="7">
        <v>3.5</v>
      </c>
      <c r="J5" s="7">
        <v>3.4</v>
      </c>
      <c r="K5" s="7">
        <v>3.6</v>
      </c>
      <c r="L5" t="s">
        <v>37</v>
      </c>
      <c r="M5" t="s">
        <v>38</v>
      </c>
    </row>
    <row r="6" spans="1:14">
      <c r="A6" t="s">
        <v>39</v>
      </c>
      <c r="B6" s="6">
        <v>46389</v>
      </c>
      <c r="C6" t="s">
        <v>40</v>
      </c>
      <c r="D6" t="s">
        <v>41</v>
      </c>
      <c r="E6" t="s">
        <v>42</v>
      </c>
      <c r="F6" t="s">
        <v>43</v>
      </c>
      <c r="G6" s="7">
        <v>4.166666666666667</v>
      </c>
      <c r="H6" s="7">
        <v>4.166666666666667</v>
      </c>
      <c r="I6" s="7">
        <v>3.9166666666666665</v>
      </c>
      <c r="J6" s="7">
        <v>3.6307692307692307</v>
      </c>
      <c r="K6" s="7">
        <v>4</v>
      </c>
      <c r="L6" t="s">
        <v>44</v>
      </c>
      <c r="M6" t="s">
        <v>45</v>
      </c>
      <c r="N6">
        <v>14</v>
      </c>
    </row>
    <row r="7" spans="1:14">
      <c r="A7" t="s">
        <v>46</v>
      </c>
      <c r="B7" s="6">
        <v>46390</v>
      </c>
      <c r="C7" t="s">
        <v>47</v>
      </c>
      <c r="D7" t="s">
        <v>48</v>
      </c>
      <c r="E7" t="s">
        <v>49</v>
      </c>
      <c r="F7" t="s">
        <v>50</v>
      </c>
      <c r="G7" s="7">
        <v>3.7666666666666671</v>
      </c>
      <c r="H7" s="7">
        <v>3.9666666666666672</v>
      </c>
      <c r="I7" s="7">
        <v>4.333333333333333</v>
      </c>
      <c r="J7" s="7">
        <v>3.8615384615384616</v>
      </c>
      <c r="K7" s="7">
        <v>4.4000000000000004</v>
      </c>
      <c r="L7" t="s">
        <v>51</v>
      </c>
      <c r="M7" t="s">
        <v>38</v>
      </c>
      <c r="N7">
        <v>23</v>
      </c>
    </row>
    <row r="8" spans="1:14">
      <c r="A8" t="s">
        <v>52</v>
      </c>
      <c r="B8" s="6">
        <v>46391</v>
      </c>
      <c r="C8" t="s">
        <v>53</v>
      </c>
      <c r="D8" t="s">
        <v>54</v>
      </c>
      <c r="E8" t="s">
        <v>55</v>
      </c>
      <c r="F8" t="s">
        <v>56</v>
      </c>
      <c r="G8" s="7">
        <v>4.2333333333333334</v>
      </c>
      <c r="H8" s="7">
        <v>4.0333333333333332</v>
      </c>
      <c r="I8" s="7">
        <v>3.75</v>
      </c>
      <c r="J8" s="7">
        <v>4.092307692307692</v>
      </c>
      <c r="K8" s="7">
        <v>3.8000000000000003</v>
      </c>
      <c r="L8" t="s">
        <v>57</v>
      </c>
      <c r="M8" t="s">
        <v>58</v>
      </c>
      <c r="N8">
        <v>32</v>
      </c>
    </row>
    <row r="9" spans="1:14">
      <c r="A9" t="s">
        <v>59</v>
      </c>
      <c r="B9" s="6">
        <v>46392</v>
      </c>
      <c r="C9" t="s">
        <v>60</v>
      </c>
      <c r="D9" t="s">
        <v>34</v>
      </c>
      <c r="E9" t="s">
        <v>35</v>
      </c>
      <c r="F9" t="s">
        <v>36</v>
      </c>
      <c r="G9" s="7">
        <v>3.8333333333333335</v>
      </c>
      <c r="H9" s="7">
        <v>3.8333333333333335</v>
      </c>
      <c r="I9" s="7">
        <v>4.166666666666667</v>
      </c>
      <c r="J9" s="7">
        <v>4.3230769230769228</v>
      </c>
      <c r="K9" s="7">
        <v>4.2</v>
      </c>
      <c r="L9" t="s">
        <v>61</v>
      </c>
      <c r="M9" t="s">
        <v>62</v>
      </c>
      <c r="N9">
        <v>41</v>
      </c>
    </row>
    <row r="10" spans="1:14">
      <c r="A10" t="s">
        <v>63</v>
      </c>
      <c r="B10" s="6">
        <v>46393</v>
      </c>
      <c r="C10" t="s">
        <v>33</v>
      </c>
      <c r="D10" t="s">
        <v>41</v>
      </c>
      <c r="E10" t="s">
        <v>42</v>
      </c>
      <c r="F10" t="s">
        <v>43</v>
      </c>
      <c r="G10" s="7">
        <v>4.3</v>
      </c>
      <c r="H10" s="7">
        <v>4.5</v>
      </c>
      <c r="I10" s="7">
        <v>3.5833333333333335</v>
      </c>
      <c r="J10" s="7">
        <v>3.4</v>
      </c>
      <c r="K10" s="7">
        <v>3.6</v>
      </c>
      <c r="L10" t="s">
        <v>37</v>
      </c>
      <c r="M10" t="s">
        <v>64</v>
      </c>
      <c r="N10">
        <v>50</v>
      </c>
    </row>
    <row r="11" spans="1:14">
      <c r="A11" t="s">
        <v>65</v>
      </c>
      <c r="B11" s="6">
        <v>46394</v>
      </c>
      <c r="C11" t="s">
        <v>40</v>
      </c>
      <c r="D11" t="s">
        <v>48</v>
      </c>
      <c r="E11" t="s">
        <v>49</v>
      </c>
      <c r="F11" t="s">
        <v>50</v>
      </c>
      <c r="G11" s="7">
        <v>3.9000000000000004</v>
      </c>
      <c r="H11" s="7">
        <v>3.7</v>
      </c>
      <c r="I11" s="7">
        <v>4</v>
      </c>
      <c r="J11" s="7">
        <v>3.6307692307692307</v>
      </c>
      <c r="K11" s="7">
        <v>4</v>
      </c>
      <c r="L11" t="s">
        <v>66</v>
      </c>
      <c r="M11" t="s">
        <v>67</v>
      </c>
      <c r="N11">
        <v>11</v>
      </c>
    </row>
    <row r="12" spans="1:14">
      <c r="A12" t="s">
        <v>68</v>
      </c>
      <c r="B12" s="6">
        <v>46395</v>
      </c>
      <c r="C12" t="s">
        <v>47</v>
      </c>
      <c r="D12" t="s">
        <v>54</v>
      </c>
      <c r="E12" t="s">
        <v>55</v>
      </c>
      <c r="F12" t="s">
        <v>56</v>
      </c>
      <c r="G12" s="7">
        <v>4.3666666666666671</v>
      </c>
      <c r="H12" s="7">
        <v>4.3666666666666671</v>
      </c>
      <c r="I12" s="7">
        <v>4.416666666666667</v>
      </c>
      <c r="J12" s="7">
        <v>3.8615384615384616</v>
      </c>
      <c r="K12" s="7">
        <v>4.4000000000000004</v>
      </c>
      <c r="L12" t="s">
        <v>69</v>
      </c>
      <c r="M12" t="s">
        <v>70</v>
      </c>
      <c r="N12">
        <v>20</v>
      </c>
    </row>
    <row r="13" spans="1:14">
      <c r="A13" t="s">
        <v>71</v>
      </c>
      <c r="B13" s="6">
        <v>46396</v>
      </c>
      <c r="C13" t="s">
        <v>53</v>
      </c>
      <c r="D13" t="s">
        <v>34</v>
      </c>
      <c r="E13" t="s">
        <v>35</v>
      </c>
      <c r="F13" t="s">
        <v>36</v>
      </c>
      <c r="G13" s="7">
        <v>3.9666666666666668</v>
      </c>
      <c r="H13" s="7">
        <v>4.166666666666667</v>
      </c>
      <c r="I13" s="7">
        <v>3.8333333333333335</v>
      </c>
      <c r="J13" s="7">
        <v>4.092307692307692</v>
      </c>
      <c r="K13" s="7">
        <v>3.8000000000000003</v>
      </c>
      <c r="L13" t="s">
        <v>72</v>
      </c>
      <c r="M13" t="s">
        <v>73</v>
      </c>
      <c r="N13">
        <v>29</v>
      </c>
    </row>
    <row r="14" spans="1:14">
      <c r="A14" t="s">
        <v>74</v>
      </c>
      <c r="B14" s="6">
        <v>46397</v>
      </c>
      <c r="C14" t="s">
        <v>60</v>
      </c>
      <c r="D14" t="s">
        <v>41</v>
      </c>
      <c r="E14" t="s">
        <v>42</v>
      </c>
      <c r="F14" t="s">
        <v>43</v>
      </c>
      <c r="G14" s="7">
        <v>4.4333333333333336</v>
      </c>
      <c r="H14" s="7">
        <v>4.2333333333333334</v>
      </c>
      <c r="I14" s="7">
        <v>4.25</v>
      </c>
      <c r="J14" s="7">
        <v>4.3230769230769228</v>
      </c>
      <c r="K14" s="7">
        <v>4.2</v>
      </c>
      <c r="L14" t="s">
        <v>75</v>
      </c>
      <c r="M14" t="s">
        <v>35</v>
      </c>
      <c r="N14">
        <v>38</v>
      </c>
    </row>
    <row r="15" spans="1:14">
      <c r="A15" t="s">
        <v>76</v>
      </c>
      <c r="B15" s="6">
        <v>46398</v>
      </c>
      <c r="C15" t="s">
        <v>33</v>
      </c>
      <c r="D15" t="s">
        <v>48</v>
      </c>
      <c r="E15" t="s">
        <v>49</v>
      </c>
      <c r="F15" t="s">
        <v>50</v>
      </c>
      <c r="G15" s="7">
        <v>4.0333333333333332</v>
      </c>
      <c r="H15" s="7">
        <v>4.0333333333333332</v>
      </c>
      <c r="I15" s="7">
        <v>3.6666666666666665</v>
      </c>
      <c r="J15" s="7">
        <v>3.4</v>
      </c>
      <c r="K15" s="7">
        <v>3.6</v>
      </c>
      <c r="L15" t="s">
        <v>35</v>
      </c>
      <c r="M15" t="s">
        <v>45</v>
      </c>
      <c r="N15">
        <v>0</v>
      </c>
    </row>
    <row r="16" spans="1:14">
      <c r="A16" t="s">
        <v>77</v>
      </c>
      <c r="B16" s="6">
        <v>46399</v>
      </c>
      <c r="C16" t="s">
        <v>40</v>
      </c>
      <c r="D16" t="s">
        <v>54</v>
      </c>
      <c r="E16" t="s">
        <v>55</v>
      </c>
      <c r="F16" t="s">
        <v>56</v>
      </c>
      <c r="G16" s="7">
        <v>4.5</v>
      </c>
      <c r="H16" s="7">
        <v>4.7</v>
      </c>
      <c r="I16" s="7">
        <v>4.083333333333333</v>
      </c>
      <c r="J16" s="7">
        <v>3.6307692307692307</v>
      </c>
      <c r="K16" s="7">
        <v>4</v>
      </c>
      <c r="L16" t="s">
        <v>44</v>
      </c>
      <c r="M16" t="s">
        <v>38</v>
      </c>
      <c r="N16">
        <v>8</v>
      </c>
    </row>
    <row r="17" spans="1:14">
      <c r="A17" t="s">
        <v>78</v>
      </c>
      <c r="B17" s="6">
        <v>46400</v>
      </c>
      <c r="C17" t="s">
        <v>47</v>
      </c>
      <c r="D17" t="s">
        <v>34</v>
      </c>
      <c r="E17" t="s">
        <v>35</v>
      </c>
      <c r="F17" t="s">
        <v>36</v>
      </c>
      <c r="G17" s="7">
        <v>4.1000000000000005</v>
      </c>
      <c r="H17" s="7">
        <v>3.9000000000000004</v>
      </c>
      <c r="I17" s="7">
        <v>3.5</v>
      </c>
      <c r="J17" s="7">
        <v>3.8615384615384616</v>
      </c>
      <c r="K17" s="7">
        <v>4.4000000000000004</v>
      </c>
      <c r="L17" t="s">
        <v>51</v>
      </c>
      <c r="M17" t="s">
        <v>58</v>
      </c>
      <c r="N17">
        <v>17</v>
      </c>
    </row>
    <row r="18" spans="1:14">
      <c r="A18" t="s">
        <v>79</v>
      </c>
      <c r="B18" s="6">
        <v>46401</v>
      </c>
      <c r="C18" t="s">
        <v>53</v>
      </c>
      <c r="D18" t="s">
        <v>41</v>
      </c>
      <c r="E18" t="s">
        <v>42</v>
      </c>
      <c r="F18" t="s">
        <v>43</v>
      </c>
      <c r="G18" s="7">
        <v>3.7</v>
      </c>
      <c r="H18" s="7">
        <v>3.7</v>
      </c>
      <c r="I18" s="7">
        <v>3.9166666666666665</v>
      </c>
      <c r="J18" s="7">
        <v>4.092307692307692</v>
      </c>
      <c r="K18" s="7">
        <v>3.8000000000000003</v>
      </c>
      <c r="L18" t="s">
        <v>57</v>
      </c>
      <c r="M18" t="s">
        <v>62</v>
      </c>
      <c r="N18">
        <v>26</v>
      </c>
    </row>
    <row r="19" spans="1:14">
      <c r="A19" t="s">
        <v>80</v>
      </c>
      <c r="B19" s="6">
        <v>46402</v>
      </c>
      <c r="C19" t="s">
        <v>60</v>
      </c>
      <c r="D19" t="s">
        <v>48</v>
      </c>
      <c r="E19" t="s">
        <v>49</v>
      </c>
      <c r="F19" t="s">
        <v>50</v>
      </c>
      <c r="G19" s="7">
        <v>4.166666666666667</v>
      </c>
      <c r="H19" s="7">
        <v>4.3666666666666671</v>
      </c>
      <c r="I19" s="7">
        <v>4.333333333333333</v>
      </c>
      <c r="J19" s="7">
        <v>4.3230769230769228</v>
      </c>
      <c r="K19" s="7">
        <v>4.2</v>
      </c>
      <c r="L19" t="s">
        <v>61</v>
      </c>
      <c r="M19" t="s">
        <v>64</v>
      </c>
      <c r="N19">
        <v>35</v>
      </c>
    </row>
    <row r="20" spans="1:14">
      <c r="A20" t="s">
        <v>81</v>
      </c>
      <c r="B20" s="6">
        <v>46403</v>
      </c>
      <c r="C20" t="s">
        <v>33</v>
      </c>
      <c r="D20" t="s">
        <v>54</v>
      </c>
      <c r="E20" t="s">
        <v>55</v>
      </c>
      <c r="F20" t="s">
        <v>56</v>
      </c>
      <c r="G20" s="7">
        <v>3.7666666666666671</v>
      </c>
      <c r="H20" s="7">
        <v>3.5666666666666669</v>
      </c>
      <c r="I20" s="7">
        <v>3.75</v>
      </c>
      <c r="J20" s="7">
        <v>3.4</v>
      </c>
      <c r="K20" s="7">
        <v>3.6</v>
      </c>
      <c r="L20" t="s">
        <v>37</v>
      </c>
      <c r="M20" t="s">
        <v>67</v>
      </c>
      <c r="N20">
        <v>44</v>
      </c>
    </row>
    <row r="21" spans="1:14">
      <c r="A21" t="s">
        <v>82</v>
      </c>
      <c r="B21" s="6">
        <v>46404</v>
      </c>
      <c r="C21" t="s">
        <v>40</v>
      </c>
      <c r="D21" t="s">
        <v>34</v>
      </c>
      <c r="E21" t="s">
        <v>35</v>
      </c>
      <c r="F21" t="s">
        <v>36</v>
      </c>
      <c r="G21" s="7">
        <v>4.2333333333333334</v>
      </c>
      <c r="H21" s="7">
        <v>4.2333333333333334</v>
      </c>
      <c r="I21" s="7">
        <v>4.166666666666667</v>
      </c>
      <c r="J21" s="7">
        <v>3.6307692307692307</v>
      </c>
      <c r="K21" s="7">
        <v>4</v>
      </c>
      <c r="L21" t="s">
        <v>66</v>
      </c>
      <c r="M21" t="s">
        <v>70</v>
      </c>
      <c r="N21">
        <v>5</v>
      </c>
    </row>
    <row r="22" spans="1:14">
      <c r="A22" t="s">
        <v>83</v>
      </c>
      <c r="B22" s="6">
        <v>46405</v>
      </c>
      <c r="C22" t="s">
        <v>47</v>
      </c>
      <c r="D22" t="s">
        <v>41</v>
      </c>
      <c r="E22" t="s">
        <v>42</v>
      </c>
      <c r="F22" t="s">
        <v>43</v>
      </c>
      <c r="G22" s="7">
        <v>3.8333333333333335</v>
      </c>
      <c r="H22" s="7">
        <v>4.0333333333333332</v>
      </c>
      <c r="I22" s="7">
        <v>3.5833333333333335</v>
      </c>
      <c r="J22" s="7">
        <v>3.8615384615384616</v>
      </c>
      <c r="K22" s="7">
        <v>4.4000000000000004</v>
      </c>
      <c r="L22" t="s">
        <v>69</v>
      </c>
      <c r="M22" t="s">
        <v>73</v>
      </c>
      <c r="N22">
        <v>14</v>
      </c>
    </row>
    <row r="23" spans="1:14">
      <c r="A23" t="s">
        <v>84</v>
      </c>
      <c r="B23" s="6">
        <v>46406</v>
      </c>
      <c r="C23" t="s">
        <v>53</v>
      </c>
      <c r="D23" t="s">
        <v>48</v>
      </c>
      <c r="E23" t="s">
        <v>49</v>
      </c>
      <c r="F23" t="s">
        <v>50</v>
      </c>
      <c r="G23" s="7">
        <v>4.3</v>
      </c>
      <c r="H23" s="7">
        <v>4.0999999999999996</v>
      </c>
      <c r="I23" s="7">
        <v>4</v>
      </c>
      <c r="J23" s="7">
        <v>4.092307692307692</v>
      </c>
      <c r="K23" s="7">
        <v>3.8000000000000003</v>
      </c>
      <c r="L23" t="s">
        <v>72</v>
      </c>
      <c r="M23" t="s">
        <v>35</v>
      </c>
      <c r="N23">
        <v>23</v>
      </c>
    </row>
    <row r="24" spans="1:14">
      <c r="A24" t="s">
        <v>85</v>
      </c>
      <c r="B24" s="6">
        <v>46407</v>
      </c>
      <c r="C24" t="s">
        <v>60</v>
      </c>
      <c r="D24" t="s">
        <v>54</v>
      </c>
      <c r="E24" t="s">
        <v>55</v>
      </c>
      <c r="F24" t="s">
        <v>56</v>
      </c>
      <c r="G24" s="7">
        <v>3.9000000000000004</v>
      </c>
      <c r="H24" s="7">
        <v>3.9000000000000004</v>
      </c>
      <c r="I24" s="7">
        <v>4.416666666666667</v>
      </c>
      <c r="J24" s="7">
        <v>4.3230769230769228</v>
      </c>
      <c r="K24" s="7">
        <v>4.2</v>
      </c>
      <c r="L24" t="s">
        <v>75</v>
      </c>
      <c r="M24" t="s">
        <v>45</v>
      </c>
      <c r="N24">
        <v>32</v>
      </c>
    </row>
    <row r="25" spans="1:14">
      <c r="A25" t="s">
        <v>86</v>
      </c>
      <c r="B25" s="6">
        <v>46408</v>
      </c>
      <c r="C25" t="s">
        <v>33</v>
      </c>
      <c r="D25" t="s">
        <v>34</v>
      </c>
      <c r="E25" t="s">
        <v>35</v>
      </c>
      <c r="F25" t="s">
        <v>36</v>
      </c>
      <c r="G25" s="7">
        <v>4.3666666666666671</v>
      </c>
      <c r="H25" s="7">
        <v>4.5666666666666673</v>
      </c>
      <c r="I25" s="7">
        <v>3.8333333333333335</v>
      </c>
      <c r="J25" s="7">
        <v>3.4</v>
      </c>
      <c r="K25" s="7">
        <v>3.6</v>
      </c>
      <c r="L25" t="s">
        <v>35</v>
      </c>
      <c r="M25" t="s">
        <v>38</v>
      </c>
      <c r="N25">
        <v>0</v>
      </c>
    </row>
    <row r="26" spans="1:14">
      <c r="A26" t="s">
        <v>87</v>
      </c>
      <c r="B26" s="6">
        <v>46409</v>
      </c>
      <c r="C26" t="s">
        <v>40</v>
      </c>
      <c r="D26" t="s">
        <v>41</v>
      </c>
      <c r="E26" t="s">
        <v>42</v>
      </c>
      <c r="F26" t="s">
        <v>43</v>
      </c>
      <c r="G26" s="7">
        <v>3.9666666666666668</v>
      </c>
      <c r="H26" s="7">
        <v>3.7666666666666666</v>
      </c>
      <c r="I26" s="7">
        <v>4.25</v>
      </c>
      <c r="J26" s="7">
        <v>3.6307692307692307</v>
      </c>
      <c r="K26" s="7">
        <v>4</v>
      </c>
      <c r="L26" t="s">
        <v>44</v>
      </c>
      <c r="M26" t="s">
        <v>58</v>
      </c>
      <c r="N26">
        <v>50</v>
      </c>
    </row>
    <row r="27" spans="1:14">
      <c r="A27" t="s">
        <v>88</v>
      </c>
      <c r="B27" s="6">
        <v>46410</v>
      </c>
      <c r="C27" t="s">
        <v>47</v>
      </c>
      <c r="D27" t="s">
        <v>48</v>
      </c>
      <c r="E27" t="s">
        <v>49</v>
      </c>
      <c r="F27" t="s">
        <v>50</v>
      </c>
      <c r="G27" s="7">
        <v>4.4333333333333336</v>
      </c>
      <c r="H27" s="7">
        <v>4.4333333333333336</v>
      </c>
      <c r="I27" s="7">
        <v>3.6666666666666665</v>
      </c>
      <c r="J27" s="7">
        <v>3.8615384615384616</v>
      </c>
      <c r="K27" s="7">
        <v>4.4000000000000004</v>
      </c>
      <c r="L27" t="s">
        <v>51</v>
      </c>
      <c r="M27" t="s">
        <v>62</v>
      </c>
      <c r="N27">
        <v>11</v>
      </c>
    </row>
    <row r="28" spans="1:14">
      <c r="A28" t="s">
        <v>89</v>
      </c>
      <c r="B28" s="6">
        <v>46411</v>
      </c>
      <c r="C28" t="s">
        <v>53</v>
      </c>
      <c r="D28" t="s">
        <v>54</v>
      </c>
      <c r="E28" t="s">
        <v>55</v>
      </c>
      <c r="F28" t="s">
        <v>56</v>
      </c>
      <c r="G28" s="7">
        <v>4.0333333333333332</v>
      </c>
      <c r="H28" s="7">
        <v>4.2333333333333334</v>
      </c>
      <c r="I28" s="7">
        <v>4.083333333333333</v>
      </c>
      <c r="J28" s="7">
        <v>4.092307692307692</v>
      </c>
      <c r="K28" s="7">
        <v>3.8000000000000003</v>
      </c>
      <c r="L28" t="s">
        <v>57</v>
      </c>
      <c r="M28" t="s">
        <v>64</v>
      </c>
      <c r="N28">
        <v>20</v>
      </c>
    </row>
    <row r="29" spans="1:14">
      <c r="A29" t="s">
        <v>90</v>
      </c>
      <c r="B29" s="6">
        <v>46412</v>
      </c>
      <c r="C29" t="s">
        <v>60</v>
      </c>
      <c r="D29" t="s">
        <v>34</v>
      </c>
      <c r="E29" t="s">
        <v>35</v>
      </c>
      <c r="F29" t="s">
        <v>36</v>
      </c>
      <c r="G29" s="7">
        <v>4.5</v>
      </c>
      <c r="H29" s="7">
        <v>4.3</v>
      </c>
      <c r="I29" s="7">
        <v>3.5</v>
      </c>
      <c r="J29" s="7">
        <v>4.3230769230769228</v>
      </c>
      <c r="K29" s="7">
        <v>4.2</v>
      </c>
      <c r="L29" t="s">
        <v>61</v>
      </c>
      <c r="M29" t="s">
        <v>67</v>
      </c>
      <c r="N29">
        <v>29</v>
      </c>
    </row>
    <row r="30" spans="1:14">
      <c r="A30" t="s">
        <v>91</v>
      </c>
      <c r="B30" s="6">
        <v>46413</v>
      </c>
      <c r="C30" t="s">
        <v>33</v>
      </c>
      <c r="D30" t="s">
        <v>41</v>
      </c>
      <c r="E30" t="s">
        <v>42</v>
      </c>
      <c r="F30" t="s">
        <v>43</v>
      </c>
      <c r="G30" s="7">
        <v>4.1000000000000005</v>
      </c>
      <c r="H30" s="7">
        <v>4.1000000000000005</v>
      </c>
      <c r="I30" s="7">
        <v>3.9166666666666665</v>
      </c>
      <c r="J30" s="7">
        <v>3.4</v>
      </c>
      <c r="K30" s="7">
        <v>3.6</v>
      </c>
      <c r="L30" t="s">
        <v>37</v>
      </c>
      <c r="M30" t="s">
        <v>70</v>
      </c>
      <c r="N30">
        <v>38</v>
      </c>
    </row>
    <row r="31" spans="1:14">
      <c r="A31" t="s">
        <v>92</v>
      </c>
      <c r="B31" s="6">
        <v>46414</v>
      </c>
      <c r="C31" t="s">
        <v>40</v>
      </c>
      <c r="D31" t="s">
        <v>48</v>
      </c>
      <c r="E31" t="s">
        <v>49</v>
      </c>
      <c r="F31" t="s">
        <v>50</v>
      </c>
      <c r="G31" s="7">
        <v>3.7</v>
      </c>
      <c r="H31" s="7">
        <v>3.9000000000000004</v>
      </c>
      <c r="I31" s="7">
        <v>4.333333333333333</v>
      </c>
      <c r="J31" s="7">
        <v>3.6307692307692307</v>
      </c>
      <c r="K31" s="7">
        <v>4</v>
      </c>
      <c r="L31" t="s">
        <v>66</v>
      </c>
      <c r="M31" t="s">
        <v>73</v>
      </c>
      <c r="N31">
        <v>47</v>
      </c>
    </row>
    <row r="32" spans="1:14">
      <c r="A32" t="s">
        <v>93</v>
      </c>
      <c r="B32" s="6">
        <v>46415</v>
      </c>
      <c r="C32" t="s">
        <v>47</v>
      </c>
      <c r="D32" t="s">
        <v>54</v>
      </c>
      <c r="E32" t="s">
        <v>55</v>
      </c>
      <c r="F32" t="s">
        <v>56</v>
      </c>
      <c r="G32" s="7">
        <v>4.166666666666667</v>
      </c>
      <c r="H32" s="7">
        <v>3.9666666666666668</v>
      </c>
      <c r="I32" s="7">
        <v>3.75</v>
      </c>
      <c r="J32" s="7">
        <v>3.8615384615384616</v>
      </c>
      <c r="K32" s="7">
        <v>4.4000000000000004</v>
      </c>
      <c r="L32" t="s">
        <v>69</v>
      </c>
      <c r="M32" t="s">
        <v>35</v>
      </c>
      <c r="N32">
        <v>8</v>
      </c>
    </row>
    <row r="33" spans="1:14">
      <c r="A33" t="s">
        <v>94</v>
      </c>
      <c r="B33" s="6">
        <v>46416</v>
      </c>
      <c r="C33" t="s">
        <v>53</v>
      </c>
      <c r="D33" t="s">
        <v>34</v>
      </c>
      <c r="E33" t="s">
        <v>35</v>
      </c>
      <c r="F33" t="s">
        <v>36</v>
      </c>
      <c r="G33" s="7">
        <v>3.7666666666666671</v>
      </c>
      <c r="H33" s="7">
        <v>3.7666666666666671</v>
      </c>
      <c r="I33" s="7">
        <v>4.166666666666667</v>
      </c>
      <c r="J33" s="7">
        <v>4.092307692307692</v>
      </c>
      <c r="K33" s="7">
        <v>3.8000000000000003</v>
      </c>
      <c r="L33" t="s">
        <v>72</v>
      </c>
      <c r="M33" t="s">
        <v>45</v>
      </c>
      <c r="N33">
        <v>17</v>
      </c>
    </row>
    <row r="34" spans="1:14">
      <c r="A34" t="s">
        <v>95</v>
      </c>
      <c r="B34" s="6">
        <v>46417</v>
      </c>
      <c r="C34" t="s">
        <v>60</v>
      </c>
      <c r="D34" t="s">
        <v>41</v>
      </c>
      <c r="E34" t="s">
        <v>42</v>
      </c>
      <c r="F34" t="s">
        <v>43</v>
      </c>
      <c r="G34" s="7">
        <v>4.2333333333333334</v>
      </c>
      <c r="H34" s="7">
        <v>4.4333333333333336</v>
      </c>
      <c r="I34" s="7">
        <v>3.5833333333333335</v>
      </c>
      <c r="J34" s="7">
        <v>4.3230769230769228</v>
      </c>
      <c r="K34" s="7">
        <v>4.2</v>
      </c>
      <c r="L34" t="s">
        <v>75</v>
      </c>
      <c r="M34" t="s">
        <v>38</v>
      </c>
    </row>
    <row r="35" spans="1:14">
      <c r="A35" t="s">
        <v>96</v>
      </c>
      <c r="B35" s="6">
        <v>46418</v>
      </c>
      <c r="C35" t="s">
        <v>33</v>
      </c>
      <c r="D35" t="s">
        <v>48</v>
      </c>
      <c r="E35" t="s">
        <v>49</v>
      </c>
      <c r="F35" t="s">
        <v>50</v>
      </c>
      <c r="G35" s="7">
        <v>3.8333333333333335</v>
      </c>
      <c r="H35" s="7">
        <v>3.6333333333333333</v>
      </c>
      <c r="I35" s="7">
        <v>4</v>
      </c>
      <c r="J35" s="7">
        <v>3.4</v>
      </c>
      <c r="K35" s="7">
        <v>3.6</v>
      </c>
      <c r="L35" t="s">
        <v>35</v>
      </c>
      <c r="M35" t="s">
        <v>58</v>
      </c>
      <c r="N35">
        <v>0</v>
      </c>
    </row>
    <row r="36" spans="1:14">
      <c r="A36" t="s">
        <v>97</v>
      </c>
      <c r="B36" s="6">
        <v>46419</v>
      </c>
      <c r="C36" t="s">
        <v>40</v>
      </c>
      <c r="D36" t="s">
        <v>54</v>
      </c>
      <c r="E36" t="s">
        <v>55</v>
      </c>
      <c r="F36" t="s">
        <v>56</v>
      </c>
      <c r="G36" s="7">
        <v>4.3</v>
      </c>
      <c r="H36" s="7">
        <v>4.3</v>
      </c>
      <c r="I36" s="7">
        <v>4.416666666666667</v>
      </c>
      <c r="J36" s="7">
        <v>3.6307692307692307</v>
      </c>
      <c r="K36" s="7">
        <v>4</v>
      </c>
      <c r="L36" t="s">
        <v>44</v>
      </c>
      <c r="M36" t="s">
        <v>62</v>
      </c>
      <c r="N36">
        <v>44</v>
      </c>
    </row>
    <row r="37" spans="1:14">
      <c r="A37" t="s">
        <v>98</v>
      </c>
      <c r="B37" s="6">
        <v>46420</v>
      </c>
      <c r="C37" t="s">
        <v>47</v>
      </c>
      <c r="D37" t="s">
        <v>34</v>
      </c>
      <c r="E37" t="s">
        <v>35</v>
      </c>
      <c r="F37" t="s">
        <v>36</v>
      </c>
      <c r="G37" s="7">
        <v>3.9000000000000004</v>
      </c>
      <c r="H37" s="7">
        <v>4.1000000000000005</v>
      </c>
      <c r="I37" s="7">
        <v>3.8333333333333335</v>
      </c>
      <c r="J37" s="7">
        <v>3.8615384615384616</v>
      </c>
      <c r="K37" s="7">
        <v>4.4000000000000004</v>
      </c>
      <c r="L37" t="s">
        <v>51</v>
      </c>
      <c r="M37" t="s">
        <v>64</v>
      </c>
      <c r="N37">
        <v>5</v>
      </c>
    </row>
    <row r="38" spans="1:14">
      <c r="A38" t="s">
        <v>99</v>
      </c>
      <c r="B38" s="6">
        <v>46421</v>
      </c>
      <c r="C38" t="s">
        <v>53</v>
      </c>
      <c r="D38" t="s">
        <v>41</v>
      </c>
      <c r="E38" t="s">
        <v>42</v>
      </c>
      <c r="F38" t="s">
        <v>43</v>
      </c>
      <c r="G38" s="7">
        <v>4.3666666666666671</v>
      </c>
      <c r="H38" s="7">
        <v>4.166666666666667</v>
      </c>
      <c r="I38" s="7">
        <v>4.25</v>
      </c>
      <c r="J38" s="7">
        <v>4.092307692307692</v>
      </c>
      <c r="K38" s="7">
        <v>3.8000000000000003</v>
      </c>
      <c r="L38" t="s">
        <v>57</v>
      </c>
      <c r="M38" t="s">
        <v>67</v>
      </c>
      <c r="N38">
        <v>14</v>
      </c>
    </row>
    <row r="39" spans="1:14">
      <c r="A39" t="s">
        <v>100</v>
      </c>
      <c r="B39" s="6">
        <v>46422</v>
      </c>
      <c r="C39" t="s">
        <v>60</v>
      </c>
      <c r="D39" t="s">
        <v>48</v>
      </c>
      <c r="E39" t="s">
        <v>49</v>
      </c>
      <c r="F39" t="s">
        <v>50</v>
      </c>
      <c r="G39" s="7">
        <v>3.9666666666666668</v>
      </c>
      <c r="H39" s="7">
        <v>3.9666666666666668</v>
      </c>
      <c r="I39" s="7">
        <v>3.6666666666666665</v>
      </c>
      <c r="J39" s="7">
        <v>4.3230769230769228</v>
      </c>
      <c r="K39" s="7">
        <v>4.2</v>
      </c>
      <c r="L39" t="s">
        <v>61</v>
      </c>
      <c r="M39" t="s">
        <v>70</v>
      </c>
      <c r="N39">
        <v>23</v>
      </c>
    </row>
    <row r="40" spans="1:14">
      <c r="A40" t="s">
        <v>101</v>
      </c>
      <c r="B40" s="6">
        <v>46423</v>
      </c>
      <c r="C40" t="s">
        <v>33</v>
      </c>
      <c r="D40" t="s">
        <v>54</v>
      </c>
      <c r="E40" t="s">
        <v>55</v>
      </c>
      <c r="F40" t="s">
        <v>56</v>
      </c>
      <c r="G40" s="7">
        <v>4.4333333333333336</v>
      </c>
      <c r="H40" s="7">
        <v>4.6333333333333337</v>
      </c>
      <c r="I40" s="7">
        <v>4.083333333333333</v>
      </c>
      <c r="J40" s="7">
        <v>3.4</v>
      </c>
      <c r="K40" s="7">
        <v>3.6</v>
      </c>
      <c r="L40" t="s">
        <v>37</v>
      </c>
      <c r="M40" t="s">
        <v>73</v>
      </c>
      <c r="N40">
        <v>32</v>
      </c>
    </row>
    <row r="41" spans="1:14">
      <c r="A41" t="s">
        <v>102</v>
      </c>
      <c r="B41" s="6">
        <v>46424</v>
      </c>
      <c r="C41" t="s">
        <v>40</v>
      </c>
      <c r="D41" t="s">
        <v>34</v>
      </c>
      <c r="E41" t="s">
        <v>35</v>
      </c>
      <c r="F41" t="s">
        <v>36</v>
      </c>
      <c r="G41" s="7">
        <v>4.0333333333333332</v>
      </c>
      <c r="H41" s="7">
        <v>3.833333333333333</v>
      </c>
      <c r="I41" s="7">
        <v>3.5</v>
      </c>
      <c r="J41" s="7">
        <v>3.6307692307692307</v>
      </c>
      <c r="K41" s="7">
        <v>4</v>
      </c>
      <c r="L41" t="s">
        <v>66</v>
      </c>
      <c r="M41" t="s">
        <v>35</v>
      </c>
      <c r="N41">
        <v>41</v>
      </c>
    </row>
    <row r="42" spans="1:14">
      <c r="A42" t="s">
        <v>103</v>
      </c>
      <c r="B42" s="6">
        <v>46425</v>
      </c>
      <c r="C42" t="s">
        <v>47</v>
      </c>
      <c r="D42" t="s">
        <v>41</v>
      </c>
      <c r="E42" t="s">
        <v>42</v>
      </c>
      <c r="F42" t="s">
        <v>43</v>
      </c>
      <c r="G42" s="7">
        <v>2.1</v>
      </c>
      <c r="H42" s="7">
        <v>4.5</v>
      </c>
      <c r="I42" s="7">
        <v>3.9166666666666665</v>
      </c>
      <c r="J42" s="7">
        <v>3.8615384615384616</v>
      </c>
      <c r="K42" s="7">
        <v>4.4000000000000004</v>
      </c>
      <c r="L42" t="s">
        <v>72</v>
      </c>
      <c r="M42" t="s">
        <v>67</v>
      </c>
      <c r="N42">
        <v>48</v>
      </c>
    </row>
    <row r="43" spans="1:14">
      <c r="A43" t="s">
        <v>104</v>
      </c>
      <c r="B43" s="6">
        <v>46426</v>
      </c>
      <c r="C43" t="s">
        <v>53</v>
      </c>
      <c r="D43" t="s">
        <v>48</v>
      </c>
      <c r="E43" t="s">
        <v>49</v>
      </c>
      <c r="F43" t="s">
        <v>50</v>
      </c>
      <c r="G43" s="7">
        <v>4.1000000000000005</v>
      </c>
      <c r="H43" s="7">
        <v>4.3000000000000007</v>
      </c>
      <c r="I43" s="7">
        <v>4.333333333333333</v>
      </c>
      <c r="J43" s="7">
        <v>4.092307692307692</v>
      </c>
      <c r="K43" s="7">
        <v>3.8000000000000003</v>
      </c>
      <c r="L43" t="s">
        <v>72</v>
      </c>
      <c r="M43" t="s">
        <v>38</v>
      </c>
      <c r="N43">
        <v>11</v>
      </c>
    </row>
    <row r="44" spans="1:14">
      <c r="A44" t="s">
        <v>105</v>
      </c>
      <c r="B44" s="6">
        <v>46427</v>
      </c>
      <c r="C44" t="s">
        <v>60</v>
      </c>
      <c r="D44" t="s">
        <v>54</v>
      </c>
      <c r="E44" t="s">
        <v>55</v>
      </c>
      <c r="F44" t="s">
        <v>56</v>
      </c>
      <c r="G44" s="7">
        <v>3.7</v>
      </c>
      <c r="H44" s="7">
        <v>3.5</v>
      </c>
      <c r="I44" s="7">
        <v>3.75</v>
      </c>
      <c r="J44" s="7">
        <v>4.3230769230769228</v>
      </c>
      <c r="K44" s="7">
        <v>4.2</v>
      </c>
      <c r="L44" t="s">
        <v>75</v>
      </c>
      <c r="M44" t="s">
        <v>58</v>
      </c>
      <c r="N44">
        <v>20</v>
      </c>
    </row>
    <row r="45" spans="1:14">
      <c r="A45" t="s">
        <v>106</v>
      </c>
      <c r="B45" s="6">
        <v>46428</v>
      </c>
      <c r="C45" t="s">
        <v>33</v>
      </c>
      <c r="D45" t="s">
        <v>34</v>
      </c>
      <c r="E45" t="s">
        <v>35</v>
      </c>
      <c r="F45" t="s">
        <v>36</v>
      </c>
      <c r="G45" s="7">
        <v>4.166666666666667</v>
      </c>
      <c r="H45" s="7">
        <v>4.166666666666667</v>
      </c>
      <c r="I45" s="7">
        <v>4.166666666666667</v>
      </c>
      <c r="J45" s="7">
        <v>3.4</v>
      </c>
      <c r="K45" s="7">
        <v>3.6</v>
      </c>
      <c r="L45" t="s">
        <v>35</v>
      </c>
      <c r="M45" t="s">
        <v>62</v>
      </c>
      <c r="N45">
        <v>0</v>
      </c>
    </row>
    <row r="46" spans="1:14">
      <c r="A46" t="s">
        <v>107</v>
      </c>
      <c r="B46" s="6">
        <v>46429</v>
      </c>
      <c r="C46" t="s">
        <v>40</v>
      </c>
      <c r="D46" t="s">
        <v>41</v>
      </c>
      <c r="E46" t="s">
        <v>42</v>
      </c>
      <c r="F46" t="s">
        <v>43</v>
      </c>
      <c r="G46" s="7">
        <v>3.7666666666666671</v>
      </c>
      <c r="H46" s="7">
        <v>3.9666666666666672</v>
      </c>
      <c r="I46" s="7">
        <v>3.5833333333333335</v>
      </c>
      <c r="J46" s="7">
        <v>3.6307692307692307</v>
      </c>
      <c r="K46" s="7">
        <v>4</v>
      </c>
      <c r="L46" t="s">
        <v>44</v>
      </c>
      <c r="M46" t="s">
        <v>64</v>
      </c>
      <c r="N46">
        <v>38</v>
      </c>
    </row>
    <row r="47" spans="1:14">
      <c r="A47" t="s">
        <v>108</v>
      </c>
      <c r="B47" s="6">
        <v>46430</v>
      </c>
      <c r="C47" t="s">
        <v>47</v>
      </c>
      <c r="D47" t="s">
        <v>48</v>
      </c>
      <c r="E47" t="s">
        <v>49</v>
      </c>
      <c r="F47" t="s">
        <v>50</v>
      </c>
      <c r="G47" s="7">
        <v>4.2333333333333334</v>
      </c>
      <c r="H47" s="7">
        <v>4.0333333333333332</v>
      </c>
      <c r="I47" s="7">
        <v>4</v>
      </c>
      <c r="J47" s="7">
        <v>3.8615384615384616</v>
      </c>
      <c r="K47" s="7">
        <v>4.4000000000000004</v>
      </c>
      <c r="L47" t="s">
        <v>51</v>
      </c>
      <c r="M47" t="s">
        <v>67</v>
      </c>
      <c r="N47">
        <v>47</v>
      </c>
    </row>
    <row r="48" spans="1:14">
      <c r="A48" t="s">
        <v>109</v>
      </c>
      <c r="B48" s="6">
        <v>46431</v>
      </c>
      <c r="C48" t="s">
        <v>53</v>
      </c>
      <c r="D48" t="s">
        <v>54</v>
      </c>
      <c r="E48" t="s">
        <v>55</v>
      </c>
      <c r="F48" t="s">
        <v>56</v>
      </c>
      <c r="G48" s="7">
        <v>3.8333333333333335</v>
      </c>
      <c r="H48" s="7">
        <v>3.8333333333333335</v>
      </c>
      <c r="I48" s="7">
        <v>4.416666666666667</v>
      </c>
      <c r="J48" s="7">
        <v>4.092307692307692</v>
      </c>
      <c r="K48" s="7">
        <v>3.8000000000000003</v>
      </c>
      <c r="L48" t="s">
        <v>57</v>
      </c>
      <c r="M48" t="s">
        <v>70</v>
      </c>
      <c r="N48">
        <v>8</v>
      </c>
    </row>
    <row r="49" spans="1:14">
      <c r="A49" t="s">
        <v>110</v>
      </c>
      <c r="B49" s="6">
        <v>46432</v>
      </c>
      <c r="C49" t="s">
        <v>60</v>
      </c>
      <c r="D49" t="s">
        <v>34</v>
      </c>
      <c r="E49" t="s">
        <v>35</v>
      </c>
      <c r="F49" t="s">
        <v>36</v>
      </c>
      <c r="G49" s="7">
        <v>4.3</v>
      </c>
      <c r="H49" s="7">
        <v>4.5</v>
      </c>
      <c r="I49" s="7">
        <v>3.8333333333333335</v>
      </c>
      <c r="J49" s="7">
        <v>4.3230769230769228</v>
      </c>
      <c r="K49" s="7">
        <v>4.2</v>
      </c>
      <c r="L49" t="s">
        <v>61</v>
      </c>
      <c r="M49" t="s">
        <v>73</v>
      </c>
      <c r="N49">
        <v>17</v>
      </c>
    </row>
    <row r="50" spans="1:14">
      <c r="A50" t="s">
        <v>111</v>
      </c>
      <c r="B50" s="6">
        <v>46433</v>
      </c>
      <c r="C50" t="s">
        <v>33</v>
      </c>
      <c r="D50" t="s">
        <v>41</v>
      </c>
      <c r="E50" t="s">
        <v>42</v>
      </c>
      <c r="F50" t="s">
        <v>43</v>
      </c>
      <c r="G50" s="7">
        <v>3.9000000000000004</v>
      </c>
      <c r="H50" s="7">
        <v>3.7</v>
      </c>
      <c r="I50" s="7">
        <v>4.25</v>
      </c>
      <c r="J50" s="7">
        <v>3.4</v>
      </c>
      <c r="K50" s="7">
        <v>3.6</v>
      </c>
      <c r="L50" t="s">
        <v>37</v>
      </c>
      <c r="M50" t="s">
        <v>35</v>
      </c>
      <c r="N50">
        <v>26</v>
      </c>
    </row>
    <row r="51" spans="1:14">
      <c r="A51" t="s">
        <v>112</v>
      </c>
      <c r="B51" s="6">
        <v>46434</v>
      </c>
      <c r="C51" t="s">
        <v>40</v>
      </c>
      <c r="D51" t="s">
        <v>48</v>
      </c>
      <c r="E51" t="s">
        <v>49</v>
      </c>
      <c r="F51" t="s">
        <v>50</v>
      </c>
      <c r="G51" s="7">
        <v>4.3666666666666671</v>
      </c>
      <c r="H51" s="7">
        <v>4.3666666666666671</v>
      </c>
      <c r="I51" s="7">
        <v>3.6666666666666665</v>
      </c>
      <c r="J51" s="7">
        <v>3.6307692307692307</v>
      </c>
      <c r="K51" s="7">
        <v>4</v>
      </c>
      <c r="L51" t="s">
        <v>66</v>
      </c>
      <c r="M51" t="s">
        <v>45</v>
      </c>
      <c r="N51">
        <v>35</v>
      </c>
    </row>
    <row r="52" spans="1:14">
      <c r="A52" t="s">
        <v>113</v>
      </c>
      <c r="B52" s="6">
        <v>46435</v>
      </c>
      <c r="C52" t="s">
        <v>47</v>
      </c>
      <c r="D52" t="s">
        <v>54</v>
      </c>
      <c r="E52" t="s">
        <v>55</v>
      </c>
      <c r="F52" t="s">
        <v>56</v>
      </c>
      <c r="G52" s="7">
        <v>3.9666666666666668</v>
      </c>
      <c r="H52" s="7">
        <v>4.166666666666667</v>
      </c>
      <c r="I52" s="7">
        <v>4.083333333333333</v>
      </c>
      <c r="J52" s="7">
        <v>3.8615384615384616</v>
      </c>
      <c r="K52" s="7">
        <v>4.4000000000000004</v>
      </c>
      <c r="L52" t="s">
        <v>69</v>
      </c>
      <c r="M52" t="s">
        <v>38</v>
      </c>
      <c r="N52">
        <v>44</v>
      </c>
    </row>
    <row r="53" spans="1:14">
      <c r="A53" t="s">
        <v>114</v>
      </c>
      <c r="B53" s="6">
        <v>46436</v>
      </c>
      <c r="C53" t="s">
        <v>53</v>
      </c>
      <c r="D53" t="s">
        <v>34</v>
      </c>
      <c r="E53" t="s">
        <v>35</v>
      </c>
      <c r="F53" t="s">
        <v>36</v>
      </c>
      <c r="G53" s="7">
        <v>4.4333333333333336</v>
      </c>
      <c r="H53" s="7">
        <v>4.2333333333333334</v>
      </c>
      <c r="I53" s="7">
        <v>3.5</v>
      </c>
      <c r="J53" s="7">
        <v>4.092307692307692</v>
      </c>
      <c r="K53" s="7">
        <v>3.8000000000000003</v>
      </c>
      <c r="L53" t="s">
        <v>72</v>
      </c>
      <c r="M53" t="s">
        <v>58</v>
      </c>
      <c r="N53">
        <v>5</v>
      </c>
    </row>
    <row r="54" spans="1:14">
      <c r="A54" t="s">
        <v>115</v>
      </c>
      <c r="B54" s="6">
        <v>46437</v>
      </c>
      <c r="C54" t="s">
        <v>60</v>
      </c>
      <c r="D54" t="s">
        <v>41</v>
      </c>
      <c r="E54" t="s">
        <v>42</v>
      </c>
      <c r="F54" t="s">
        <v>43</v>
      </c>
      <c r="G54" s="7">
        <v>4.0333333333333332</v>
      </c>
      <c r="H54" s="7">
        <v>4.0333333333333332</v>
      </c>
      <c r="I54" s="7">
        <v>3.9166666666666665</v>
      </c>
      <c r="J54" s="7">
        <v>4.3230769230769228</v>
      </c>
      <c r="K54" s="7">
        <v>4.2</v>
      </c>
      <c r="L54" t="s">
        <v>75</v>
      </c>
      <c r="M54" t="s">
        <v>62</v>
      </c>
      <c r="N54">
        <v>14</v>
      </c>
    </row>
    <row r="55" spans="1:14">
      <c r="A55" t="s">
        <v>116</v>
      </c>
      <c r="B55" s="6">
        <v>46438</v>
      </c>
      <c r="C55" t="s">
        <v>33</v>
      </c>
      <c r="D55" t="s">
        <v>48</v>
      </c>
      <c r="E55" t="s">
        <v>49</v>
      </c>
      <c r="F55" t="s">
        <v>50</v>
      </c>
      <c r="G55" s="7">
        <v>4.5</v>
      </c>
      <c r="H55" s="7">
        <v>4.7</v>
      </c>
      <c r="I55" s="7">
        <v>4.333333333333333</v>
      </c>
      <c r="J55" s="7">
        <v>3.4</v>
      </c>
      <c r="K55" s="7">
        <v>3.6</v>
      </c>
      <c r="L55" t="s">
        <v>35</v>
      </c>
      <c r="M55" t="s">
        <v>64</v>
      </c>
      <c r="N55">
        <v>0</v>
      </c>
    </row>
    <row r="56" spans="1:14">
      <c r="A56" t="s">
        <v>117</v>
      </c>
      <c r="B56" s="6">
        <v>46439</v>
      </c>
      <c r="C56" t="s">
        <v>40</v>
      </c>
      <c r="D56" t="s">
        <v>54</v>
      </c>
      <c r="E56" t="s">
        <v>55</v>
      </c>
      <c r="F56" t="s">
        <v>56</v>
      </c>
      <c r="G56" s="7">
        <v>4.1000000000000005</v>
      </c>
      <c r="H56" s="7">
        <v>3.9000000000000004</v>
      </c>
      <c r="I56" s="7">
        <v>3.75</v>
      </c>
      <c r="J56" s="7">
        <v>3.6307692307692307</v>
      </c>
      <c r="K56" s="7">
        <v>4</v>
      </c>
      <c r="L56" t="s">
        <v>44</v>
      </c>
      <c r="M56" t="s">
        <v>67</v>
      </c>
      <c r="N56">
        <v>32</v>
      </c>
    </row>
    <row r="57" spans="1:14">
      <c r="A57" t="s">
        <v>118</v>
      </c>
      <c r="B57" s="6">
        <v>46440</v>
      </c>
      <c r="C57" t="s">
        <v>47</v>
      </c>
      <c r="D57" t="s">
        <v>34</v>
      </c>
      <c r="E57" t="s">
        <v>35</v>
      </c>
      <c r="F57" t="s">
        <v>36</v>
      </c>
      <c r="G57" s="7">
        <v>3.7</v>
      </c>
      <c r="H57" s="7">
        <v>3.7</v>
      </c>
      <c r="I57" s="7">
        <v>4.166666666666667</v>
      </c>
      <c r="J57" s="7">
        <v>3.8615384615384616</v>
      </c>
      <c r="K57" s="7">
        <v>4.4000000000000004</v>
      </c>
      <c r="L57" t="s">
        <v>51</v>
      </c>
      <c r="M57" t="s">
        <v>70</v>
      </c>
      <c r="N57">
        <v>41</v>
      </c>
    </row>
    <row r="58" spans="1:14">
      <c r="A58" t="s">
        <v>119</v>
      </c>
      <c r="B58" s="6">
        <v>46441</v>
      </c>
      <c r="C58" t="s">
        <v>53</v>
      </c>
      <c r="D58" t="s">
        <v>41</v>
      </c>
      <c r="E58" t="s">
        <v>42</v>
      </c>
      <c r="F58" t="s">
        <v>43</v>
      </c>
      <c r="G58" s="7">
        <v>2.4</v>
      </c>
      <c r="H58" s="7">
        <v>4.3666666666666671</v>
      </c>
      <c r="I58" s="7">
        <v>3.5833333333333335</v>
      </c>
      <c r="J58" s="7">
        <v>4.092307692307692</v>
      </c>
      <c r="K58" s="7">
        <v>3.8000000000000003</v>
      </c>
      <c r="L58" t="s">
        <v>37</v>
      </c>
      <c r="M58" t="s">
        <v>38</v>
      </c>
      <c r="N58">
        <v>12</v>
      </c>
    </row>
    <row r="59" spans="1:14">
      <c r="A59" t="s">
        <v>120</v>
      </c>
      <c r="B59" s="6">
        <v>46442</v>
      </c>
      <c r="C59" t="s">
        <v>60</v>
      </c>
      <c r="D59" t="s">
        <v>48</v>
      </c>
      <c r="E59" t="s">
        <v>49</v>
      </c>
      <c r="F59" t="s">
        <v>50</v>
      </c>
      <c r="G59" s="7">
        <v>3.7666666666666671</v>
      </c>
      <c r="H59" s="7">
        <v>3.5666666666666669</v>
      </c>
      <c r="I59" s="7">
        <v>4</v>
      </c>
      <c r="J59" s="7">
        <v>4.3230769230769228</v>
      </c>
      <c r="K59" s="7">
        <v>4.2</v>
      </c>
      <c r="L59" t="s">
        <v>61</v>
      </c>
      <c r="M59" t="s">
        <v>35</v>
      </c>
      <c r="N59">
        <v>11</v>
      </c>
    </row>
    <row r="60" spans="1:14">
      <c r="A60" t="s">
        <v>121</v>
      </c>
      <c r="B60" s="6">
        <v>46443</v>
      </c>
      <c r="C60" t="s">
        <v>33</v>
      </c>
      <c r="D60" t="s">
        <v>54</v>
      </c>
      <c r="E60" t="s">
        <v>55</v>
      </c>
      <c r="F60" t="s">
        <v>56</v>
      </c>
      <c r="G60" s="7">
        <v>4.2333333333333334</v>
      </c>
      <c r="H60" s="7">
        <v>4.2333333333333334</v>
      </c>
      <c r="I60" s="7">
        <v>4.416666666666667</v>
      </c>
      <c r="J60" s="7">
        <v>3.4</v>
      </c>
      <c r="K60" s="7">
        <v>3.6</v>
      </c>
      <c r="L60" t="s">
        <v>37</v>
      </c>
      <c r="M60" t="s">
        <v>45</v>
      </c>
      <c r="N60">
        <v>20</v>
      </c>
    </row>
    <row r="61" spans="1:14">
      <c r="A61" t="s">
        <v>122</v>
      </c>
      <c r="B61" s="6">
        <v>46444</v>
      </c>
      <c r="C61" t="s">
        <v>40</v>
      </c>
      <c r="D61" t="s">
        <v>34</v>
      </c>
      <c r="E61" t="s">
        <v>35</v>
      </c>
      <c r="F61" t="s">
        <v>36</v>
      </c>
      <c r="G61" s="7">
        <v>3.8333333333333335</v>
      </c>
      <c r="H61" s="7">
        <v>4.0333333333333332</v>
      </c>
      <c r="I61" s="7">
        <v>3.8333333333333335</v>
      </c>
      <c r="J61" s="7">
        <v>3.6307692307692307</v>
      </c>
      <c r="K61" s="7">
        <v>4</v>
      </c>
      <c r="L61" t="s">
        <v>66</v>
      </c>
      <c r="M61" t="s">
        <v>38</v>
      </c>
      <c r="N61">
        <v>29</v>
      </c>
    </row>
    <row r="62" spans="1:14">
      <c r="A62" t="s">
        <v>123</v>
      </c>
      <c r="B62" s="6">
        <v>46445</v>
      </c>
      <c r="C62" t="s">
        <v>47</v>
      </c>
      <c r="D62" t="s">
        <v>41</v>
      </c>
      <c r="E62" t="s">
        <v>42</v>
      </c>
      <c r="F62" t="s">
        <v>43</v>
      </c>
      <c r="G62" s="7">
        <v>4.3</v>
      </c>
      <c r="H62" s="7">
        <v>4.0999999999999996</v>
      </c>
      <c r="I62" s="7">
        <v>4.25</v>
      </c>
      <c r="J62" s="7">
        <v>3.8615384615384616</v>
      </c>
      <c r="K62" s="7">
        <v>4.4000000000000004</v>
      </c>
      <c r="L62" t="s">
        <v>69</v>
      </c>
      <c r="M62" t="s">
        <v>58</v>
      </c>
      <c r="N62">
        <v>38</v>
      </c>
    </row>
    <row r="63" spans="1:14">
      <c r="A63" t="s">
        <v>124</v>
      </c>
      <c r="B63" s="6">
        <v>46446</v>
      </c>
      <c r="C63" t="s">
        <v>53</v>
      </c>
      <c r="D63" t="s">
        <v>48</v>
      </c>
      <c r="E63" t="s">
        <v>49</v>
      </c>
      <c r="F63" t="s">
        <v>50</v>
      </c>
      <c r="G63" s="7">
        <v>3.9000000000000004</v>
      </c>
      <c r="H63" s="7">
        <v>3.9000000000000004</v>
      </c>
      <c r="I63" s="7">
        <v>3.6666666666666665</v>
      </c>
      <c r="J63" s="7">
        <v>4.092307692307692</v>
      </c>
      <c r="K63" s="7">
        <v>3.8000000000000003</v>
      </c>
      <c r="L63" t="s">
        <v>72</v>
      </c>
      <c r="M63" t="s">
        <v>62</v>
      </c>
    </row>
    <row r="64" spans="1:14">
      <c r="A64" t="s">
        <v>125</v>
      </c>
      <c r="B64" s="6">
        <v>46447</v>
      </c>
      <c r="C64" t="s">
        <v>60</v>
      </c>
      <c r="D64" t="s">
        <v>54</v>
      </c>
      <c r="E64" t="s">
        <v>55</v>
      </c>
      <c r="F64" t="s">
        <v>56</v>
      </c>
      <c r="G64" s="7">
        <v>4.3666666666666671</v>
      </c>
      <c r="H64" s="7">
        <v>4.5666666666666673</v>
      </c>
      <c r="I64" s="7">
        <v>4.083333333333333</v>
      </c>
      <c r="J64" s="7">
        <v>4.3230769230769228</v>
      </c>
      <c r="K64" s="7">
        <v>4.2</v>
      </c>
      <c r="L64" t="s">
        <v>75</v>
      </c>
      <c r="M64" t="s">
        <v>64</v>
      </c>
      <c r="N64">
        <v>8</v>
      </c>
    </row>
    <row r="65" spans="1:14">
      <c r="A65" t="s">
        <v>126</v>
      </c>
      <c r="B65" s="6">
        <v>46448</v>
      </c>
      <c r="C65" t="s">
        <v>33</v>
      </c>
      <c r="D65" t="s">
        <v>34</v>
      </c>
      <c r="E65" t="s">
        <v>35</v>
      </c>
      <c r="F65" t="s">
        <v>36</v>
      </c>
      <c r="G65" s="7">
        <v>3.9666666666666668</v>
      </c>
      <c r="H65" s="7">
        <v>3.7666666666666666</v>
      </c>
      <c r="I65" s="7">
        <v>3.5</v>
      </c>
      <c r="J65" s="7">
        <v>3.4</v>
      </c>
      <c r="K65" s="7">
        <v>3.6</v>
      </c>
      <c r="L65" t="s">
        <v>35</v>
      </c>
      <c r="M65" t="s">
        <v>67</v>
      </c>
      <c r="N65">
        <v>0</v>
      </c>
    </row>
    <row r="66" spans="1:14">
      <c r="A66" t="s">
        <v>127</v>
      </c>
      <c r="B66" s="6">
        <v>46449</v>
      </c>
      <c r="C66" t="s">
        <v>40</v>
      </c>
      <c r="D66" t="s">
        <v>41</v>
      </c>
      <c r="E66" t="s">
        <v>42</v>
      </c>
      <c r="F66" t="s">
        <v>43</v>
      </c>
      <c r="G66" s="7">
        <v>4.4333333333333336</v>
      </c>
      <c r="H66" s="7">
        <v>4.4333333333333336</v>
      </c>
      <c r="I66" s="7">
        <v>3.9166666666666665</v>
      </c>
      <c r="J66" s="7">
        <v>3.6307692307692307</v>
      </c>
      <c r="K66" s="7">
        <v>4</v>
      </c>
      <c r="L66" t="s">
        <v>44</v>
      </c>
      <c r="M66" t="s">
        <v>70</v>
      </c>
      <c r="N66">
        <v>26</v>
      </c>
    </row>
    <row r="67" spans="1:14">
      <c r="A67" t="s">
        <v>128</v>
      </c>
      <c r="B67" s="6">
        <v>46450</v>
      </c>
      <c r="C67" t="s">
        <v>47</v>
      </c>
      <c r="D67" t="s">
        <v>48</v>
      </c>
      <c r="E67" t="s">
        <v>49</v>
      </c>
      <c r="F67" t="s">
        <v>50</v>
      </c>
      <c r="G67" s="7">
        <v>4.0333333333333332</v>
      </c>
      <c r="H67" s="7">
        <v>4.2333333333333334</v>
      </c>
      <c r="I67" s="7">
        <v>4.333333333333333</v>
      </c>
      <c r="J67" s="7">
        <v>3.8615384615384616</v>
      </c>
      <c r="K67" s="7">
        <v>4.4000000000000004</v>
      </c>
      <c r="L67" t="s">
        <v>51</v>
      </c>
      <c r="M67" t="s">
        <v>73</v>
      </c>
      <c r="N67">
        <v>35</v>
      </c>
    </row>
    <row r="68" spans="1:14">
      <c r="A68" t="s">
        <v>129</v>
      </c>
      <c r="B68" s="6">
        <v>46451</v>
      </c>
      <c r="C68" t="s">
        <v>53</v>
      </c>
      <c r="D68" t="s">
        <v>54</v>
      </c>
      <c r="E68" t="s">
        <v>55</v>
      </c>
      <c r="F68" t="s">
        <v>56</v>
      </c>
      <c r="G68" s="7">
        <v>4.5</v>
      </c>
      <c r="H68" s="7">
        <v>4.3</v>
      </c>
      <c r="I68" s="7">
        <v>3.75</v>
      </c>
      <c r="J68" s="7">
        <v>4.092307692307692</v>
      </c>
      <c r="K68" s="7">
        <v>3.8000000000000003</v>
      </c>
      <c r="L68" t="s">
        <v>57</v>
      </c>
      <c r="M68" t="s">
        <v>35</v>
      </c>
      <c r="N68">
        <v>44</v>
      </c>
    </row>
    <row r="69" spans="1:14">
      <c r="A69" t="s">
        <v>130</v>
      </c>
      <c r="B69" s="6">
        <v>46452</v>
      </c>
      <c r="C69" t="s">
        <v>60</v>
      </c>
      <c r="D69" t="s">
        <v>34</v>
      </c>
      <c r="E69" t="s">
        <v>35</v>
      </c>
      <c r="F69" t="s">
        <v>36</v>
      </c>
      <c r="G69" s="7">
        <v>4.1000000000000005</v>
      </c>
      <c r="H69" s="7">
        <v>4.1000000000000005</v>
      </c>
      <c r="I69" s="7">
        <v>4.166666666666667</v>
      </c>
      <c r="J69" s="7">
        <v>4.3230769230769228</v>
      </c>
      <c r="K69" s="7">
        <v>4.2</v>
      </c>
      <c r="L69" t="s">
        <v>61</v>
      </c>
      <c r="M69" t="s">
        <v>45</v>
      </c>
      <c r="N69">
        <v>5</v>
      </c>
    </row>
    <row r="70" spans="1:14">
      <c r="A70" t="s">
        <v>131</v>
      </c>
      <c r="B70" s="6">
        <v>46453</v>
      </c>
      <c r="C70" t="s">
        <v>33</v>
      </c>
      <c r="D70" t="s">
        <v>41</v>
      </c>
      <c r="E70" t="s">
        <v>42</v>
      </c>
      <c r="F70" t="s">
        <v>43</v>
      </c>
      <c r="G70" s="7">
        <v>3.7</v>
      </c>
      <c r="H70" s="7">
        <v>3.9000000000000004</v>
      </c>
      <c r="I70" s="7">
        <v>3.5833333333333335</v>
      </c>
      <c r="J70" s="7">
        <v>3.4</v>
      </c>
      <c r="K70" s="7">
        <v>3.6</v>
      </c>
      <c r="L70" t="s">
        <v>37</v>
      </c>
      <c r="M70" t="s">
        <v>38</v>
      </c>
      <c r="N70">
        <v>14</v>
      </c>
    </row>
    <row r="71" spans="1:14">
      <c r="A71" t="s">
        <v>132</v>
      </c>
      <c r="B71" s="6">
        <v>46454</v>
      </c>
      <c r="C71" t="s">
        <v>40</v>
      </c>
      <c r="D71" t="s">
        <v>48</v>
      </c>
      <c r="E71" t="s">
        <v>49</v>
      </c>
      <c r="F71" t="s">
        <v>50</v>
      </c>
      <c r="G71" s="7">
        <v>4.166666666666667</v>
      </c>
      <c r="H71" s="7">
        <v>3.9666666666666668</v>
      </c>
      <c r="I71" s="7">
        <v>4</v>
      </c>
      <c r="J71" s="7">
        <v>3.6307692307692307</v>
      </c>
      <c r="K71" s="7">
        <v>4</v>
      </c>
      <c r="L71" t="s">
        <v>66</v>
      </c>
      <c r="M71" t="s">
        <v>58</v>
      </c>
      <c r="N71">
        <v>23</v>
      </c>
    </row>
    <row r="72" spans="1:14">
      <c r="A72" t="s">
        <v>133</v>
      </c>
      <c r="B72" s="6">
        <v>46455</v>
      </c>
      <c r="C72" t="s">
        <v>47</v>
      </c>
      <c r="D72" t="s">
        <v>54</v>
      </c>
      <c r="E72" t="s">
        <v>55</v>
      </c>
      <c r="F72" t="s">
        <v>56</v>
      </c>
      <c r="G72" s="7">
        <v>3.7666666666666671</v>
      </c>
      <c r="H72" s="7">
        <v>3.7666666666666671</v>
      </c>
      <c r="I72" s="7">
        <v>4.416666666666667</v>
      </c>
      <c r="J72" s="7">
        <v>3.8615384615384616</v>
      </c>
      <c r="K72" s="7">
        <v>4.4000000000000004</v>
      </c>
      <c r="L72" t="s">
        <v>69</v>
      </c>
      <c r="M72" t="s">
        <v>62</v>
      </c>
      <c r="N72">
        <v>32</v>
      </c>
    </row>
    <row r="73" spans="1:14">
      <c r="A73" t="s">
        <v>134</v>
      </c>
      <c r="B73" s="6">
        <v>46456</v>
      </c>
      <c r="C73" t="s">
        <v>53</v>
      </c>
      <c r="D73" t="s">
        <v>34</v>
      </c>
      <c r="E73" t="s">
        <v>35</v>
      </c>
      <c r="F73" t="s">
        <v>36</v>
      </c>
      <c r="G73" s="7">
        <v>4.2333333333333334</v>
      </c>
      <c r="H73" s="7">
        <v>4.4333333333333336</v>
      </c>
      <c r="I73" s="7">
        <v>3.8333333333333335</v>
      </c>
      <c r="J73" s="7">
        <v>4.092307692307692</v>
      </c>
      <c r="K73" s="7">
        <v>3.8000000000000003</v>
      </c>
      <c r="L73" t="s">
        <v>72</v>
      </c>
      <c r="M73" t="s">
        <v>64</v>
      </c>
      <c r="N73">
        <v>41</v>
      </c>
    </row>
    <row r="74" spans="1:14">
      <c r="A74" t="s">
        <v>135</v>
      </c>
      <c r="B74" s="6">
        <v>46457</v>
      </c>
      <c r="C74" t="s">
        <v>60</v>
      </c>
      <c r="D74" t="s">
        <v>41</v>
      </c>
      <c r="E74" t="s">
        <v>42</v>
      </c>
      <c r="F74" t="s">
        <v>43</v>
      </c>
      <c r="G74" s="7">
        <v>3.8333333333333335</v>
      </c>
      <c r="H74" s="7">
        <v>3.6333333333333333</v>
      </c>
      <c r="I74" s="7">
        <v>4.25</v>
      </c>
      <c r="J74" s="7">
        <v>4.3230769230769228</v>
      </c>
      <c r="K74" s="7">
        <v>4.2</v>
      </c>
      <c r="L74" t="s">
        <v>75</v>
      </c>
      <c r="M74" t="s">
        <v>67</v>
      </c>
      <c r="N74">
        <v>50</v>
      </c>
    </row>
    <row r="75" spans="1:14">
      <c r="A75" t="s">
        <v>136</v>
      </c>
      <c r="B75" s="6">
        <v>46458</v>
      </c>
      <c r="C75" t="s">
        <v>33</v>
      </c>
      <c r="D75" t="s">
        <v>48</v>
      </c>
      <c r="E75" t="s">
        <v>49</v>
      </c>
      <c r="F75" t="s">
        <v>50</v>
      </c>
      <c r="G75" s="7">
        <v>4.3</v>
      </c>
      <c r="H75" s="7">
        <v>4.3</v>
      </c>
      <c r="I75" s="7">
        <v>3.6666666666666665</v>
      </c>
      <c r="J75" s="7">
        <v>3.4</v>
      </c>
      <c r="K75" s="7">
        <v>3.6</v>
      </c>
      <c r="L75" t="s">
        <v>35</v>
      </c>
      <c r="M75" t="s">
        <v>70</v>
      </c>
      <c r="N75">
        <v>0</v>
      </c>
    </row>
    <row r="76" spans="1:14">
      <c r="A76" t="s">
        <v>137</v>
      </c>
      <c r="B76" s="6">
        <v>46459</v>
      </c>
      <c r="C76" t="s">
        <v>40</v>
      </c>
      <c r="D76" t="s">
        <v>54</v>
      </c>
      <c r="E76" t="s">
        <v>55</v>
      </c>
      <c r="F76" t="s">
        <v>56</v>
      </c>
      <c r="G76" s="7">
        <v>3.9000000000000004</v>
      </c>
      <c r="H76" s="7">
        <v>4.1000000000000005</v>
      </c>
      <c r="I76" s="7">
        <v>4.083333333333333</v>
      </c>
      <c r="J76" s="7">
        <v>3.6307692307692307</v>
      </c>
      <c r="K76" s="7">
        <v>4</v>
      </c>
      <c r="L76" t="s">
        <v>44</v>
      </c>
      <c r="M76" t="s">
        <v>73</v>
      </c>
      <c r="N76">
        <v>20</v>
      </c>
    </row>
    <row r="77" spans="1:14">
      <c r="A77" t="s">
        <v>138</v>
      </c>
      <c r="B77" s="6">
        <v>46460</v>
      </c>
      <c r="C77" t="s">
        <v>47</v>
      </c>
      <c r="D77" t="s">
        <v>34</v>
      </c>
      <c r="E77" t="s">
        <v>35</v>
      </c>
      <c r="F77" t="s">
        <v>36</v>
      </c>
      <c r="G77" s="7">
        <v>4.3666666666666671</v>
      </c>
      <c r="H77" s="7">
        <v>4.166666666666667</v>
      </c>
      <c r="I77" s="7">
        <v>3.5</v>
      </c>
      <c r="J77" s="7">
        <v>3.8615384615384616</v>
      </c>
      <c r="K77" s="7">
        <v>4.4000000000000004</v>
      </c>
      <c r="L77" t="s">
        <v>51</v>
      </c>
      <c r="M77" t="s">
        <v>35</v>
      </c>
      <c r="N77">
        <v>29</v>
      </c>
    </row>
    <row r="78" spans="1:14">
      <c r="A78" t="s">
        <v>139</v>
      </c>
      <c r="B78" s="6">
        <v>46461</v>
      </c>
      <c r="C78" t="s">
        <v>53</v>
      </c>
      <c r="D78" t="s">
        <v>41</v>
      </c>
      <c r="E78" t="s">
        <v>42</v>
      </c>
      <c r="F78" t="s">
        <v>43</v>
      </c>
      <c r="G78" s="7">
        <v>3.9666666666666668</v>
      </c>
      <c r="H78" s="7">
        <v>3.9666666666666668</v>
      </c>
      <c r="I78" s="7">
        <v>3.9166666666666665</v>
      </c>
      <c r="J78" s="7">
        <v>4.092307692307692</v>
      </c>
      <c r="K78" s="7">
        <v>3.8000000000000003</v>
      </c>
      <c r="L78" t="s">
        <v>57</v>
      </c>
      <c r="M78" t="s">
        <v>45</v>
      </c>
      <c r="N78">
        <v>38</v>
      </c>
    </row>
    <row r="79" spans="1:14">
      <c r="A79" t="s">
        <v>140</v>
      </c>
      <c r="B79" s="6">
        <v>46462</v>
      </c>
      <c r="C79" t="s">
        <v>60</v>
      </c>
      <c r="D79" t="s">
        <v>48</v>
      </c>
      <c r="E79" t="s">
        <v>49</v>
      </c>
      <c r="F79" t="s">
        <v>50</v>
      </c>
      <c r="G79" s="7">
        <v>2.1</v>
      </c>
      <c r="H79" s="7">
        <v>4.6333333333333337</v>
      </c>
      <c r="I79" s="7">
        <v>4.333333333333333</v>
      </c>
      <c r="J79" s="7">
        <v>4.3230769230769228</v>
      </c>
      <c r="K79" s="7">
        <v>4.2</v>
      </c>
      <c r="L79" t="s">
        <v>72</v>
      </c>
      <c r="M79" t="s">
        <v>67</v>
      </c>
      <c r="N79">
        <v>48</v>
      </c>
    </row>
    <row r="80" spans="1:14">
      <c r="A80" t="s">
        <v>141</v>
      </c>
      <c r="B80" s="6">
        <v>46463</v>
      </c>
      <c r="C80" t="s">
        <v>33</v>
      </c>
      <c r="D80" t="s">
        <v>54</v>
      </c>
      <c r="E80" t="s">
        <v>55</v>
      </c>
      <c r="F80" t="s">
        <v>56</v>
      </c>
      <c r="G80" s="7">
        <v>4.0333333333333332</v>
      </c>
      <c r="H80" s="7">
        <v>3.833333333333333</v>
      </c>
      <c r="I80" s="7">
        <v>3.75</v>
      </c>
      <c r="J80" s="7">
        <v>3.4</v>
      </c>
      <c r="K80" s="7">
        <v>3.6</v>
      </c>
      <c r="L80" t="s">
        <v>37</v>
      </c>
      <c r="M80" t="s">
        <v>58</v>
      </c>
      <c r="N80">
        <v>8</v>
      </c>
    </row>
    <row r="81" spans="1:14">
      <c r="A81" t="s">
        <v>142</v>
      </c>
      <c r="B81" s="6">
        <v>46464</v>
      </c>
      <c r="C81" t="s">
        <v>40</v>
      </c>
      <c r="D81" t="s">
        <v>34</v>
      </c>
      <c r="E81" t="s">
        <v>35</v>
      </c>
      <c r="F81" t="s">
        <v>36</v>
      </c>
      <c r="G81" s="7">
        <v>4.5</v>
      </c>
      <c r="H81" s="7">
        <v>4.5</v>
      </c>
      <c r="I81" s="7">
        <v>4.166666666666667</v>
      </c>
      <c r="J81" s="7">
        <v>3.6307692307692307</v>
      </c>
      <c r="K81" s="7">
        <v>4</v>
      </c>
      <c r="L81" t="s">
        <v>66</v>
      </c>
      <c r="M81" t="s">
        <v>62</v>
      </c>
      <c r="N81">
        <v>17</v>
      </c>
    </row>
    <row r="82" spans="1:14">
      <c r="A82" t="s">
        <v>143</v>
      </c>
      <c r="B82" s="6">
        <v>46465</v>
      </c>
      <c r="C82" t="s">
        <v>47</v>
      </c>
      <c r="D82" t="s">
        <v>41</v>
      </c>
      <c r="E82" t="s">
        <v>42</v>
      </c>
      <c r="F82" t="s">
        <v>43</v>
      </c>
      <c r="G82" s="7">
        <v>4.1000000000000005</v>
      </c>
      <c r="H82" s="7">
        <v>4.3000000000000007</v>
      </c>
      <c r="I82" s="7">
        <v>3.5833333333333335</v>
      </c>
      <c r="J82" s="7">
        <v>3.8615384615384616</v>
      </c>
      <c r="K82" s="7">
        <v>4.4000000000000004</v>
      </c>
      <c r="L82" t="s">
        <v>69</v>
      </c>
      <c r="M82" t="s">
        <v>64</v>
      </c>
      <c r="N82">
        <v>26</v>
      </c>
    </row>
    <row r="83" spans="1:14">
      <c r="A83" t="s">
        <v>144</v>
      </c>
      <c r="B83" s="6">
        <v>46466</v>
      </c>
      <c r="C83" t="s">
        <v>53</v>
      </c>
      <c r="D83" t="s">
        <v>48</v>
      </c>
      <c r="E83" t="s">
        <v>49</v>
      </c>
      <c r="F83" t="s">
        <v>50</v>
      </c>
      <c r="G83" s="7">
        <v>3.7</v>
      </c>
      <c r="H83" s="7">
        <v>3.5</v>
      </c>
      <c r="I83" s="7">
        <v>4</v>
      </c>
      <c r="J83" s="7">
        <v>4.092307692307692</v>
      </c>
      <c r="K83" s="7">
        <v>3.8000000000000003</v>
      </c>
      <c r="L83" t="s">
        <v>72</v>
      </c>
      <c r="M83" t="s">
        <v>67</v>
      </c>
      <c r="N83">
        <v>35</v>
      </c>
    </row>
    <row r="84" spans="1:14">
      <c r="A84" t="s">
        <v>145</v>
      </c>
      <c r="B84" s="6">
        <v>46467</v>
      </c>
      <c r="C84" t="s">
        <v>60</v>
      </c>
      <c r="D84" t="s">
        <v>54</v>
      </c>
      <c r="E84" t="s">
        <v>55</v>
      </c>
      <c r="F84" t="s">
        <v>56</v>
      </c>
      <c r="G84" s="7">
        <v>4.166666666666667</v>
      </c>
      <c r="H84" s="7">
        <v>4.166666666666667</v>
      </c>
      <c r="I84" s="7">
        <v>4.416666666666667</v>
      </c>
      <c r="J84" s="7">
        <v>4.3230769230769228</v>
      </c>
      <c r="K84" s="7">
        <v>4.2</v>
      </c>
      <c r="L84" t="s">
        <v>75</v>
      </c>
      <c r="M84" t="s">
        <v>70</v>
      </c>
      <c r="N84">
        <v>44</v>
      </c>
    </row>
    <row r="85" spans="1:14">
      <c r="A85" t="s">
        <v>146</v>
      </c>
      <c r="B85" s="6">
        <v>46468</v>
      </c>
      <c r="C85" t="s">
        <v>33</v>
      </c>
      <c r="D85" t="s">
        <v>34</v>
      </c>
      <c r="E85" t="s">
        <v>35</v>
      </c>
      <c r="F85" t="s">
        <v>36</v>
      </c>
      <c r="G85" s="7">
        <v>3.7666666666666671</v>
      </c>
      <c r="H85" s="7">
        <v>3.9666666666666672</v>
      </c>
      <c r="I85" s="7">
        <v>3.8333333333333335</v>
      </c>
      <c r="J85" s="7">
        <v>3.4</v>
      </c>
      <c r="K85" s="7">
        <v>3.6</v>
      </c>
      <c r="L85" t="s">
        <v>35</v>
      </c>
      <c r="M85" t="s">
        <v>73</v>
      </c>
      <c r="N85">
        <v>0</v>
      </c>
    </row>
    <row r="86" spans="1:14">
      <c r="A86" t="s">
        <v>147</v>
      </c>
      <c r="B86" s="6">
        <v>46469</v>
      </c>
      <c r="C86" t="s">
        <v>40</v>
      </c>
      <c r="D86" t="s">
        <v>41</v>
      </c>
      <c r="E86" t="s">
        <v>42</v>
      </c>
      <c r="F86" t="s">
        <v>43</v>
      </c>
      <c r="G86" s="7">
        <v>4.2333333333333334</v>
      </c>
      <c r="H86" s="7">
        <v>4.0333333333333332</v>
      </c>
      <c r="I86" s="7">
        <v>4.25</v>
      </c>
      <c r="J86" s="7">
        <v>3.6307692307692307</v>
      </c>
      <c r="K86" s="7">
        <v>4</v>
      </c>
      <c r="L86" t="s">
        <v>44</v>
      </c>
      <c r="M86" t="s">
        <v>35</v>
      </c>
      <c r="N86">
        <v>14</v>
      </c>
    </row>
    <row r="87" spans="1:14">
      <c r="A87" t="s">
        <v>148</v>
      </c>
      <c r="B87" s="6">
        <v>46470</v>
      </c>
      <c r="C87" t="s">
        <v>47</v>
      </c>
      <c r="D87" t="s">
        <v>48</v>
      </c>
      <c r="E87" t="s">
        <v>49</v>
      </c>
      <c r="F87" t="s">
        <v>50</v>
      </c>
      <c r="G87" s="7">
        <v>3.8333333333333335</v>
      </c>
      <c r="H87" s="7">
        <v>3.8333333333333335</v>
      </c>
      <c r="I87" s="7">
        <v>3.6666666666666665</v>
      </c>
      <c r="J87" s="7">
        <v>3.8615384615384616</v>
      </c>
      <c r="K87" s="7">
        <v>4.4000000000000004</v>
      </c>
      <c r="L87" t="s">
        <v>51</v>
      </c>
      <c r="M87" t="s">
        <v>45</v>
      </c>
      <c r="N87">
        <v>23</v>
      </c>
    </row>
    <row r="88" spans="1:14">
      <c r="A88" t="s">
        <v>149</v>
      </c>
      <c r="B88" s="6">
        <v>46471</v>
      </c>
      <c r="C88" t="s">
        <v>53</v>
      </c>
      <c r="D88" t="s">
        <v>54</v>
      </c>
      <c r="E88" t="s">
        <v>55</v>
      </c>
      <c r="F88" t="s">
        <v>56</v>
      </c>
      <c r="G88" s="7">
        <v>4.3</v>
      </c>
      <c r="H88" s="7">
        <v>4.5</v>
      </c>
      <c r="I88" s="7">
        <v>4.083333333333333</v>
      </c>
      <c r="J88" s="7">
        <v>4.092307692307692</v>
      </c>
      <c r="K88" s="7">
        <v>3.8000000000000003</v>
      </c>
      <c r="L88" t="s">
        <v>57</v>
      </c>
      <c r="M88" t="s">
        <v>38</v>
      </c>
      <c r="N88">
        <v>32</v>
      </c>
    </row>
    <row r="89" spans="1:14">
      <c r="A89" t="s">
        <v>150</v>
      </c>
      <c r="B89" s="6">
        <v>46472</v>
      </c>
      <c r="C89" t="s">
        <v>60</v>
      </c>
      <c r="D89" t="s">
        <v>34</v>
      </c>
      <c r="E89" t="s">
        <v>35</v>
      </c>
      <c r="F89" t="s">
        <v>36</v>
      </c>
      <c r="G89" s="7">
        <v>3.9000000000000004</v>
      </c>
      <c r="H89" s="7">
        <v>3.7</v>
      </c>
      <c r="I89" s="7">
        <v>3.5</v>
      </c>
      <c r="J89" s="7">
        <v>4.3230769230769228</v>
      </c>
      <c r="K89" s="7">
        <v>4.2</v>
      </c>
      <c r="L89" t="s">
        <v>61</v>
      </c>
      <c r="M89" t="s">
        <v>58</v>
      </c>
      <c r="N89">
        <v>41</v>
      </c>
    </row>
    <row r="90" spans="1:14">
      <c r="A90" t="s">
        <v>151</v>
      </c>
      <c r="B90" s="6">
        <v>46473</v>
      </c>
      <c r="C90" t="s">
        <v>33</v>
      </c>
      <c r="D90" t="s">
        <v>41</v>
      </c>
      <c r="E90" t="s">
        <v>42</v>
      </c>
      <c r="F90" t="s">
        <v>43</v>
      </c>
      <c r="G90" s="7">
        <v>4.3666666666666671</v>
      </c>
      <c r="H90" s="7">
        <v>4.3666666666666671</v>
      </c>
      <c r="I90" s="7">
        <v>3.9166666666666665</v>
      </c>
      <c r="J90" s="7">
        <v>3.4</v>
      </c>
      <c r="K90" s="7">
        <v>3.6</v>
      </c>
      <c r="L90" t="s">
        <v>37</v>
      </c>
      <c r="M90" t="s">
        <v>62</v>
      </c>
      <c r="N90">
        <v>50</v>
      </c>
    </row>
    <row r="91" spans="1:14">
      <c r="A91" t="s">
        <v>152</v>
      </c>
      <c r="B91" s="6">
        <v>46474</v>
      </c>
      <c r="C91" t="s">
        <v>40</v>
      </c>
      <c r="D91" t="s">
        <v>48</v>
      </c>
      <c r="E91" t="s">
        <v>49</v>
      </c>
      <c r="F91" t="s">
        <v>50</v>
      </c>
      <c r="G91" s="7">
        <v>3.9666666666666668</v>
      </c>
      <c r="H91" s="7">
        <v>4.166666666666667</v>
      </c>
      <c r="I91" s="7">
        <v>4.333333333333333</v>
      </c>
      <c r="J91" s="7">
        <v>3.6307692307692307</v>
      </c>
      <c r="K91" s="7">
        <v>4</v>
      </c>
      <c r="L91" t="s">
        <v>66</v>
      </c>
      <c r="M91" t="s">
        <v>64</v>
      </c>
      <c r="N91">
        <v>11</v>
      </c>
    </row>
    <row r="92" spans="1:14">
      <c r="A92" t="s">
        <v>153</v>
      </c>
      <c r="B92" s="6">
        <v>46475</v>
      </c>
      <c r="C92" t="s">
        <v>47</v>
      </c>
      <c r="D92" t="s">
        <v>54</v>
      </c>
      <c r="E92" t="s">
        <v>55</v>
      </c>
      <c r="F92" t="s">
        <v>56</v>
      </c>
      <c r="G92" s="7">
        <v>4.4333333333333336</v>
      </c>
      <c r="H92" s="7">
        <v>4.2333333333333334</v>
      </c>
      <c r="I92" s="7">
        <v>3.75</v>
      </c>
      <c r="J92" s="7">
        <v>3.8615384615384616</v>
      </c>
      <c r="K92" s="7">
        <v>4.4000000000000004</v>
      </c>
      <c r="L92" t="s">
        <v>69</v>
      </c>
      <c r="M92" t="s">
        <v>67</v>
      </c>
    </row>
    <row r="93" spans="1:14">
      <c r="A93" t="s">
        <v>154</v>
      </c>
      <c r="B93" s="6">
        <v>46476</v>
      </c>
      <c r="C93" t="s">
        <v>53</v>
      </c>
      <c r="D93" t="s">
        <v>34</v>
      </c>
      <c r="E93" t="s">
        <v>35</v>
      </c>
      <c r="F93" t="s">
        <v>36</v>
      </c>
      <c r="G93" s="7">
        <v>4.0333333333333332</v>
      </c>
      <c r="H93" s="7">
        <v>4.0333333333333332</v>
      </c>
      <c r="I93" s="7">
        <v>4.166666666666667</v>
      </c>
      <c r="J93" s="7">
        <v>4.092307692307692</v>
      </c>
      <c r="K93" s="7">
        <v>3.8000000000000003</v>
      </c>
      <c r="L93" t="s">
        <v>72</v>
      </c>
      <c r="M93" t="s">
        <v>70</v>
      </c>
      <c r="N93">
        <v>29</v>
      </c>
    </row>
    <row r="94" spans="1:14">
      <c r="A94" t="s">
        <v>155</v>
      </c>
      <c r="B94" s="6">
        <v>46477</v>
      </c>
      <c r="C94" t="s">
        <v>60</v>
      </c>
      <c r="D94" t="s">
        <v>41</v>
      </c>
      <c r="E94" t="s">
        <v>42</v>
      </c>
      <c r="F94" t="s">
        <v>43</v>
      </c>
      <c r="G94" s="7">
        <v>4.5</v>
      </c>
      <c r="H94" s="7">
        <v>4.7</v>
      </c>
      <c r="I94" s="7">
        <v>3.5833333333333335</v>
      </c>
      <c r="J94" s="7">
        <v>4.3230769230769228</v>
      </c>
      <c r="K94" s="7">
        <v>4.2</v>
      </c>
      <c r="L94" t="s">
        <v>75</v>
      </c>
      <c r="M94" t="s">
        <v>73</v>
      </c>
      <c r="N94">
        <v>38</v>
      </c>
    </row>
    <row r="95" spans="1:14">
      <c r="A95" t="s">
        <v>156</v>
      </c>
      <c r="B95" s="6">
        <v>46388</v>
      </c>
      <c r="C95" t="s">
        <v>33</v>
      </c>
      <c r="D95" t="s">
        <v>48</v>
      </c>
      <c r="E95" t="s">
        <v>49</v>
      </c>
      <c r="F95" t="s">
        <v>50</v>
      </c>
      <c r="G95" s="7">
        <v>4.1000000000000005</v>
      </c>
      <c r="H95" s="7">
        <v>3.9000000000000004</v>
      </c>
      <c r="I95" s="7">
        <v>4</v>
      </c>
      <c r="J95" s="7">
        <v>3.4</v>
      </c>
      <c r="K95" s="7">
        <v>3.6</v>
      </c>
      <c r="L95" t="s">
        <v>35</v>
      </c>
      <c r="M95" t="s">
        <v>35</v>
      </c>
      <c r="N95">
        <v>0</v>
      </c>
    </row>
    <row r="96" spans="1:14">
      <c r="A96" t="s">
        <v>157</v>
      </c>
      <c r="B96" s="6">
        <v>46389</v>
      </c>
      <c r="C96" t="s">
        <v>40</v>
      </c>
      <c r="D96" t="s">
        <v>54</v>
      </c>
      <c r="E96" t="s">
        <v>55</v>
      </c>
      <c r="F96" t="s">
        <v>56</v>
      </c>
      <c r="G96" s="7">
        <v>3.7</v>
      </c>
      <c r="H96" s="7">
        <v>3.7</v>
      </c>
      <c r="I96" s="7">
        <v>4.416666666666667</v>
      </c>
      <c r="J96" s="7">
        <v>3.6307692307692307</v>
      </c>
      <c r="K96" s="7">
        <v>4</v>
      </c>
      <c r="L96" t="s">
        <v>44</v>
      </c>
      <c r="M96" t="s">
        <v>45</v>
      </c>
      <c r="N96">
        <v>8</v>
      </c>
    </row>
    <row r="97" spans="1:14">
      <c r="A97" t="s">
        <v>158</v>
      </c>
      <c r="B97" s="6">
        <v>46390</v>
      </c>
      <c r="C97" t="s">
        <v>47</v>
      </c>
      <c r="D97" t="s">
        <v>34</v>
      </c>
      <c r="E97" t="s">
        <v>35</v>
      </c>
      <c r="F97" t="s">
        <v>36</v>
      </c>
      <c r="G97" s="7">
        <v>1.8</v>
      </c>
      <c r="H97" s="7">
        <v>4.3666666666666671</v>
      </c>
      <c r="I97" s="7">
        <v>3.8333333333333335</v>
      </c>
      <c r="J97" s="7">
        <v>3.8615384615384616</v>
      </c>
      <c r="K97" s="7">
        <v>4.4000000000000004</v>
      </c>
      <c r="L97" t="s">
        <v>75</v>
      </c>
      <c r="M97" t="s">
        <v>58</v>
      </c>
      <c r="N97">
        <v>85</v>
      </c>
    </row>
    <row r="98" spans="1:14">
      <c r="A98" t="s">
        <v>159</v>
      </c>
      <c r="B98" s="6">
        <v>46391</v>
      </c>
      <c r="C98" t="s">
        <v>53</v>
      </c>
      <c r="D98" t="s">
        <v>41</v>
      </c>
      <c r="E98" t="s">
        <v>42</v>
      </c>
      <c r="F98" t="s">
        <v>43</v>
      </c>
      <c r="G98" s="7">
        <v>3.7666666666666671</v>
      </c>
      <c r="H98" s="7">
        <v>3.5666666666666669</v>
      </c>
      <c r="I98" s="7">
        <v>4.25</v>
      </c>
      <c r="J98" s="7">
        <v>4.092307692307692</v>
      </c>
      <c r="K98" s="7">
        <v>3.8000000000000003</v>
      </c>
      <c r="L98" t="s">
        <v>57</v>
      </c>
      <c r="M98" t="s">
        <v>58</v>
      </c>
      <c r="N98">
        <v>26</v>
      </c>
    </row>
    <row r="99" spans="1:14">
      <c r="A99" t="s">
        <v>160</v>
      </c>
      <c r="B99" s="6">
        <v>46392</v>
      </c>
      <c r="C99" t="s">
        <v>60</v>
      </c>
      <c r="D99" t="s">
        <v>48</v>
      </c>
      <c r="E99" t="s">
        <v>49</v>
      </c>
      <c r="F99" t="s">
        <v>50</v>
      </c>
      <c r="G99" s="7">
        <v>4.2333333333333334</v>
      </c>
      <c r="H99" s="7">
        <v>4.2333333333333334</v>
      </c>
      <c r="I99" s="7">
        <v>3.6666666666666665</v>
      </c>
      <c r="J99" s="7">
        <v>4.3230769230769228</v>
      </c>
      <c r="K99" s="7">
        <v>4.2</v>
      </c>
      <c r="L99" t="s">
        <v>61</v>
      </c>
      <c r="M99" t="s">
        <v>62</v>
      </c>
      <c r="N99">
        <v>35</v>
      </c>
    </row>
    <row r="100" spans="1:14">
      <c r="A100" t="s">
        <v>161</v>
      </c>
      <c r="B100" s="6">
        <v>46393</v>
      </c>
      <c r="C100" t="s">
        <v>33</v>
      </c>
      <c r="D100" t="s">
        <v>54</v>
      </c>
      <c r="E100" t="s">
        <v>55</v>
      </c>
      <c r="F100" t="s">
        <v>56</v>
      </c>
      <c r="G100" s="7">
        <v>3.8333333333333335</v>
      </c>
      <c r="H100" s="7">
        <v>4.0333333333333332</v>
      </c>
      <c r="I100" s="7">
        <v>4.083333333333333</v>
      </c>
      <c r="J100" s="7">
        <v>3.4</v>
      </c>
      <c r="K100" s="7">
        <v>3.6</v>
      </c>
      <c r="L100" t="s">
        <v>37</v>
      </c>
      <c r="M100" t="s">
        <v>64</v>
      </c>
      <c r="N100">
        <v>44</v>
      </c>
    </row>
    <row r="101" spans="1:14">
      <c r="A101" t="s">
        <v>162</v>
      </c>
      <c r="B101" s="6">
        <v>46394</v>
      </c>
      <c r="C101" t="s">
        <v>40</v>
      </c>
      <c r="D101" t="s">
        <v>34</v>
      </c>
      <c r="E101" t="s">
        <v>35</v>
      </c>
      <c r="F101" t="s">
        <v>36</v>
      </c>
      <c r="G101" s="7">
        <v>4.3</v>
      </c>
      <c r="H101" s="7">
        <v>4.0999999999999996</v>
      </c>
      <c r="I101" s="7">
        <v>3.5</v>
      </c>
      <c r="J101" s="7">
        <v>3.6307692307692307</v>
      </c>
      <c r="K101" s="7">
        <v>4</v>
      </c>
      <c r="L101" t="s">
        <v>66</v>
      </c>
      <c r="M101" t="s">
        <v>67</v>
      </c>
      <c r="N101">
        <v>5</v>
      </c>
    </row>
    <row r="102" spans="1:14">
      <c r="A102" t="s">
        <v>163</v>
      </c>
      <c r="B102" s="6">
        <v>46395</v>
      </c>
      <c r="C102" t="s">
        <v>47</v>
      </c>
      <c r="D102" t="s">
        <v>41</v>
      </c>
      <c r="E102" t="s">
        <v>42</v>
      </c>
      <c r="F102" t="s">
        <v>43</v>
      </c>
      <c r="G102" s="7">
        <v>3.9000000000000004</v>
      </c>
      <c r="H102" s="7">
        <v>3.9000000000000004</v>
      </c>
      <c r="I102" s="7">
        <v>3.9166666666666665</v>
      </c>
      <c r="J102" s="7">
        <v>3.8615384615384616</v>
      </c>
      <c r="K102" s="7">
        <v>4.4000000000000004</v>
      </c>
      <c r="L102" t="s">
        <v>69</v>
      </c>
      <c r="M102" t="s">
        <v>70</v>
      </c>
      <c r="N102">
        <v>14</v>
      </c>
    </row>
    <row r="103" spans="1:14">
      <c r="A103" t="s">
        <v>164</v>
      </c>
      <c r="B103" s="6">
        <v>46396</v>
      </c>
      <c r="C103" t="s">
        <v>53</v>
      </c>
      <c r="D103" t="s">
        <v>48</v>
      </c>
      <c r="E103" t="s">
        <v>49</v>
      </c>
      <c r="F103" t="s">
        <v>50</v>
      </c>
      <c r="G103" s="7">
        <v>4.3666666666666671</v>
      </c>
      <c r="H103" s="7">
        <v>4.5666666666666673</v>
      </c>
      <c r="I103" s="7">
        <v>4.333333333333333</v>
      </c>
      <c r="J103" s="7">
        <v>4.092307692307692</v>
      </c>
      <c r="K103" s="7">
        <v>3.8000000000000003</v>
      </c>
      <c r="L103" t="s">
        <v>72</v>
      </c>
      <c r="M103" t="s">
        <v>73</v>
      </c>
      <c r="N103">
        <v>23</v>
      </c>
    </row>
    <row r="104" spans="1:14">
      <c r="A104" t="s">
        <v>165</v>
      </c>
      <c r="B104" s="6">
        <v>46397</v>
      </c>
      <c r="C104" t="s">
        <v>60</v>
      </c>
      <c r="D104" t="s">
        <v>54</v>
      </c>
      <c r="E104" t="s">
        <v>55</v>
      </c>
      <c r="F104" t="s">
        <v>56</v>
      </c>
      <c r="G104" s="7">
        <v>3.9666666666666668</v>
      </c>
      <c r="H104" s="7">
        <v>3.7666666666666666</v>
      </c>
      <c r="I104" s="7">
        <v>3.75</v>
      </c>
      <c r="J104" s="7">
        <v>4.3230769230769228</v>
      </c>
      <c r="K104" s="7">
        <v>4.2</v>
      </c>
      <c r="L104" t="s">
        <v>75</v>
      </c>
      <c r="M104" t="s">
        <v>35</v>
      </c>
      <c r="N104">
        <v>32</v>
      </c>
    </row>
    <row r="105" spans="1:14">
      <c r="A105" t="s">
        <v>166</v>
      </c>
      <c r="B105" s="6">
        <v>46398</v>
      </c>
      <c r="C105" t="s">
        <v>33</v>
      </c>
      <c r="D105" t="s">
        <v>34</v>
      </c>
      <c r="E105" t="s">
        <v>35</v>
      </c>
      <c r="F105" t="s">
        <v>36</v>
      </c>
      <c r="G105" s="7">
        <v>4.4333333333333336</v>
      </c>
      <c r="H105" s="7">
        <v>4.4333333333333336</v>
      </c>
      <c r="I105" s="7">
        <v>4.166666666666667</v>
      </c>
      <c r="J105" s="7">
        <v>3.4</v>
      </c>
      <c r="K105" s="7">
        <v>3.6</v>
      </c>
      <c r="L105" t="s">
        <v>35</v>
      </c>
      <c r="M105" t="s">
        <v>45</v>
      </c>
      <c r="N105">
        <v>0</v>
      </c>
    </row>
    <row r="106" spans="1:14">
      <c r="A106" t="s">
        <v>167</v>
      </c>
      <c r="B106" s="6">
        <v>46399</v>
      </c>
      <c r="C106" t="s">
        <v>40</v>
      </c>
      <c r="D106" t="s">
        <v>41</v>
      </c>
      <c r="E106" t="s">
        <v>42</v>
      </c>
      <c r="F106" t="s">
        <v>43</v>
      </c>
      <c r="G106" s="7">
        <v>4.0333333333333332</v>
      </c>
      <c r="H106" s="7">
        <v>4.2333333333333334</v>
      </c>
      <c r="I106" s="7">
        <v>3.5833333333333335</v>
      </c>
      <c r="J106" s="7">
        <v>3.6307692307692307</v>
      </c>
      <c r="K106" s="7">
        <v>4</v>
      </c>
      <c r="L106" t="s">
        <v>44</v>
      </c>
      <c r="M106" t="s">
        <v>38</v>
      </c>
      <c r="N106">
        <v>50</v>
      </c>
    </row>
    <row r="107" spans="1:14">
      <c r="A107" t="s">
        <v>168</v>
      </c>
      <c r="B107" s="6">
        <v>46400</v>
      </c>
      <c r="C107" t="s">
        <v>47</v>
      </c>
      <c r="D107" t="s">
        <v>48</v>
      </c>
      <c r="E107" t="s">
        <v>49</v>
      </c>
      <c r="F107" t="s">
        <v>50</v>
      </c>
      <c r="G107" s="7">
        <v>4.5</v>
      </c>
      <c r="H107" s="7">
        <v>4.3</v>
      </c>
      <c r="I107" s="7">
        <v>4</v>
      </c>
      <c r="J107" s="7">
        <v>3.8615384615384616</v>
      </c>
      <c r="K107" s="7">
        <v>4.4000000000000004</v>
      </c>
      <c r="L107" t="s">
        <v>51</v>
      </c>
      <c r="M107" t="s">
        <v>58</v>
      </c>
      <c r="N107">
        <v>11</v>
      </c>
    </row>
    <row r="108" spans="1:14">
      <c r="A108" t="s">
        <v>169</v>
      </c>
      <c r="B108" s="6">
        <v>46401</v>
      </c>
      <c r="C108" t="s">
        <v>53</v>
      </c>
      <c r="D108" t="s">
        <v>54</v>
      </c>
      <c r="E108" t="s">
        <v>55</v>
      </c>
      <c r="F108" t="s">
        <v>56</v>
      </c>
      <c r="G108" s="7">
        <v>4.1000000000000005</v>
      </c>
      <c r="H108" s="7">
        <v>4.1000000000000005</v>
      </c>
      <c r="I108" s="7">
        <v>4.416666666666667</v>
      </c>
      <c r="J108" s="7">
        <v>4.092307692307692</v>
      </c>
      <c r="K108" s="7">
        <v>3.8000000000000003</v>
      </c>
      <c r="L108" t="s">
        <v>57</v>
      </c>
      <c r="M108" t="s">
        <v>62</v>
      </c>
      <c r="N108">
        <v>20</v>
      </c>
    </row>
    <row r="109" spans="1:14">
      <c r="A109" t="s">
        <v>170</v>
      </c>
      <c r="B109" s="6">
        <v>46402</v>
      </c>
      <c r="C109" t="s">
        <v>60</v>
      </c>
      <c r="D109" t="s">
        <v>34</v>
      </c>
      <c r="E109" t="s">
        <v>35</v>
      </c>
      <c r="F109" t="s">
        <v>36</v>
      </c>
      <c r="G109" s="7">
        <v>3.7</v>
      </c>
      <c r="H109" s="7">
        <v>3.9000000000000004</v>
      </c>
      <c r="I109" s="7">
        <v>3.8333333333333335</v>
      </c>
      <c r="J109" s="7">
        <v>4.3230769230769228</v>
      </c>
      <c r="K109" s="7">
        <v>4.2</v>
      </c>
      <c r="L109" t="s">
        <v>61</v>
      </c>
      <c r="M109" t="s">
        <v>64</v>
      </c>
      <c r="N109">
        <v>29</v>
      </c>
    </row>
    <row r="110" spans="1:14">
      <c r="A110" t="s">
        <v>171</v>
      </c>
      <c r="B110" s="6">
        <v>46403</v>
      </c>
      <c r="C110" t="s">
        <v>33</v>
      </c>
      <c r="D110" t="s">
        <v>41</v>
      </c>
      <c r="E110" t="s">
        <v>42</v>
      </c>
      <c r="F110" t="s">
        <v>43</v>
      </c>
      <c r="G110" s="7">
        <v>4.166666666666667</v>
      </c>
      <c r="H110" s="7">
        <v>3.9666666666666668</v>
      </c>
      <c r="I110" s="7">
        <v>4.25</v>
      </c>
      <c r="J110" s="7">
        <v>3.4</v>
      </c>
      <c r="K110" s="7">
        <v>3.6</v>
      </c>
      <c r="L110" t="s">
        <v>37</v>
      </c>
      <c r="M110" t="s">
        <v>67</v>
      </c>
      <c r="N110">
        <v>38</v>
      </c>
    </row>
    <row r="111" spans="1:14">
      <c r="A111" t="s">
        <v>172</v>
      </c>
      <c r="B111" s="6">
        <v>46404</v>
      </c>
      <c r="C111" t="s">
        <v>40</v>
      </c>
      <c r="D111" t="s">
        <v>48</v>
      </c>
      <c r="E111" t="s">
        <v>49</v>
      </c>
      <c r="F111" t="s">
        <v>50</v>
      </c>
      <c r="G111" s="7">
        <v>2.4</v>
      </c>
      <c r="H111" s="7">
        <v>3.7666666666666671</v>
      </c>
      <c r="I111" s="7">
        <v>3.6666666666666665</v>
      </c>
      <c r="J111" s="7">
        <v>3.6307692307692307</v>
      </c>
      <c r="K111" s="7">
        <v>4</v>
      </c>
      <c r="L111" t="s">
        <v>37</v>
      </c>
      <c r="M111" t="s">
        <v>38</v>
      </c>
      <c r="N111">
        <v>12</v>
      </c>
    </row>
    <row r="112" spans="1:14">
      <c r="A112" t="s">
        <v>173</v>
      </c>
      <c r="B112" s="6">
        <v>46405</v>
      </c>
      <c r="C112" t="s">
        <v>47</v>
      </c>
      <c r="D112" t="s">
        <v>54</v>
      </c>
      <c r="E112" t="s">
        <v>55</v>
      </c>
      <c r="F112" t="s">
        <v>56</v>
      </c>
      <c r="G112" s="7">
        <v>4.2333333333333334</v>
      </c>
      <c r="H112" s="7">
        <v>4.4333333333333336</v>
      </c>
      <c r="I112" s="7">
        <v>4.083333333333333</v>
      </c>
      <c r="J112" s="7">
        <v>3.8615384615384616</v>
      </c>
      <c r="K112" s="7">
        <v>4.4000000000000004</v>
      </c>
      <c r="L112" t="s">
        <v>69</v>
      </c>
      <c r="M112" t="s">
        <v>73</v>
      </c>
      <c r="N112">
        <v>8</v>
      </c>
    </row>
    <row r="113" spans="1:14">
      <c r="A113" t="s">
        <v>174</v>
      </c>
      <c r="B113" s="6">
        <v>46406</v>
      </c>
      <c r="C113" t="s">
        <v>53</v>
      </c>
      <c r="D113" t="s">
        <v>34</v>
      </c>
      <c r="E113" t="s">
        <v>35</v>
      </c>
      <c r="F113" t="s">
        <v>36</v>
      </c>
      <c r="G113" s="7">
        <v>3.8333333333333335</v>
      </c>
      <c r="H113" s="7">
        <v>3.6333333333333333</v>
      </c>
      <c r="I113" s="7">
        <v>3.5</v>
      </c>
      <c r="J113" s="7">
        <v>4.092307692307692</v>
      </c>
      <c r="K113" s="7">
        <v>3.8000000000000003</v>
      </c>
      <c r="L113" t="s">
        <v>72</v>
      </c>
      <c r="M113" t="s">
        <v>35</v>
      </c>
      <c r="N113">
        <v>17</v>
      </c>
    </row>
    <row r="114" spans="1:14">
      <c r="A114" t="s">
        <v>175</v>
      </c>
      <c r="B114" s="6">
        <v>46407</v>
      </c>
      <c r="C114" t="s">
        <v>60</v>
      </c>
      <c r="D114" t="s">
        <v>41</v>
      </c>
      <c r="E114" t="s">
        <v>42</v>
      </c>
      <c r="F114" t="s">
        <v>43</v>
      </c>
      <c r="G114" s="7">
        <v>4.3</v>
      </c>
      <c r="H114" s="7">
        <v>4.3</v>
      </c>
      <c r="I114" s="7">
        <v>3.9166666666666665</v>
      </c>
      <c r="J114" s="7">
        <v>4.3230769230769228</v>
      </c>
      <c r="K114" s="7">
        <v>4.2</v>
      </c>
      <c r="L114" t="s">
        <v>75</v>
      </c>
      <c r="M114" t="s">
        <v>45</v>
      </c>
      <c r="N114">
        <v>26</v>
      </c>
    </row>
    <row r="115" spans="1:14">
      <c r="A115" t="s">
        <v>176</v>
      </c>
      <c r="B115" s="6">
        <v>46408</v>
      </c>
      <c r="C115" t="s">
        <v>33</v>
      </c>
      <c r="D115" t="s">
        <v>48</v>
      </c>
      <c r="E115" t="s">
        <v>49</v>
      </c>
      <c r="F115" t="s">
        <v>50</v>
      </c>
      <c r="G115" s="7">
        <v>3.9000000000000004</v>
      </c>
      <c r="H115" s="7">
        <v>4.1000000000000005</v>
      </c>
      <c r="I115" s="7">
        <v>4.333333333333333</v>
      </c>
      <c r="J115" s="7">
        <v>3.4</v>
      </c>
      <c r="K115" s="7">
        <v>3.6</v>
      </c>
      <c r="L115" t="s">
        <v>35</v>
      </c>
      <c r="M115" t="s">
        <v>38</v>
      </c>
      <c r="N115">
        <v>0</v>
      </c>
    </row>
    <row r="116" spans="1:14">
      <c r="A116" t="s">
        <v>177</v>
      </c>
      <c r="B116" s="6">
        <v>46409</v>
      </c>
      <c r="C116" t="s">
        <v>40</v>
      </c>
      <c r="D116" t="s">
        <v>54</v>
      </c>
      <c r="E116" t="s">
        <v>55</v>
      </c>
      <c r="F116" t="s">
        <v>56</v>
      </c>
      <c r="G116" s="7">
        <v>2.1</v>
      </c>
      <c r="H116" s="7">
        <v>4.166666666666667</v>
      </c>
      <c r="I116" s="7">
        <v>3.75</v>
      </c>
      <c r="J116" s="7">
        <v>3.6307692307692307</v>
      </c>
      <c r="K116" s="7">
        <v>4</v>
      </c>
      <c r="L116" t="s">
        <v>72</v>
      </c>
      <c r="M116" t="s">
        <v>67</v>
      </c>
      <c r="N116">
        <v>48</v>
      </c>
    </row>
    <row r="117" spans="1:14">
      <c r="A117" t="s">
        <v>178</v>
      </c>
      <c r="B117" s="6">
        <v>46410</v>
      </c>
      <c r="C117" t="s">
        <v>47</v>
      </c>
      <c r="D117" t="s">
        <v>34</v>
      </c>
      <c r="E117" t="s">
        <v>35</v>
      </c>
      <c r="F117" t="s">
        <v>36</v>
      </c>
      <c r="G117" s="7">
        <v>3.9666666666666668</v>
      </c>
      <c r="H117" s="7">
        <v>3.9666666666666668</v>
      </c>
      <c r="I117" s="7">
        <v>4.166666666666667</v>
      </c>
      <c r="J117" s="7">
        <v>3.8615384615384616</v>
      </c>
      <c r="K117" s="7">
        <v>4.4000000000000004</v>
      </c>
      <c r="L117" t="s">
        <v>51</v>
      </c>
      <c r="M117" t="s">
        <v>62</v>
      </c>
      <c r="N117">
        <v>5</v>
      </c>
    </row>
    <row r="118" spans="1:14">
      <c r="A118" t="s">
        <v>179</v>
      </c>
      <c r="B118" s="6">
        <v>46411</v>
      </c>
      <c r="C118" t="s">
        <v>53</v>
      </c>
      <c r="D118" t="s">
        <v>41</v>
      </c>
      <c r="E118" t="s">
        <v>42</v>
      </c>
      <c r="F118" t="s">
        <v>43</v>
      </c>
      <c r="G118" s="7">
        <v>4.4333333333333336</v>
      </c>
      <c r="H118" s="7">
        <v>4.6333333333333337</v>
      </c>
      <c r="I118" s="7">
        <v>3.5833333333333335</v>
      </c>
      <c r="J118" s="7">
        <v>4.092307692307692</v>
      </c>
      <c r="K118" s="7">
        <v>3.8000000000000003</v>
      </c>
      <c r="L118" t="s">
        <v>57</v>
      </c>
      <c r="M118" t="s">
        <v>64</v>
      </c>
      <c r="N118">
        <v>14</v>
      </c>
    </row>
    <row r="119" spans="1:14">
      <c r="A119" t="s">
        <v>180</v>
      </c>
      <c r="B119" s="6">
        <v>46412</v>
      </c>
      <c r="C119" t="s">
        <v>60</v>
      </c>
      <c r="D119" t="s">
        <v>48</v>
      </c>
      <c r="E119" t="s">
        <v>49</v>
      </c>
      <c r="F119" t="s">
        <v>50</v>
      </c>
      <c r="G119" s="7">
        <v>4.0333333333333332</v>
      </c>
      <c r="H119" s="7">
        <v>3.833333333333333</v>
      </c>
      <c r="I119" s="7">
        <v>4</v>
      </c>
      <c r="J119" s="7">
        <v>4.3230769230769228</v>
      </c>
      <c r="K119" s="7">
        <v>4.2</v>
      </c>
      <c r="L119" t="s">
        <v>61</v>
      </c>
      <c r="M119" t="s">
        <v>67</v>
      </c>
      <c r="N119">
        <v>23</v>
      </c>
    </row>
    <row r="120" spans="1:14">
      <c r="A120" t="s">
        <v>181</v>
      </c>
      <c r="B120" s="6">
        <v>46413</v>
      </c>
      <c r="C120" t="s">
        <v>33</v>
      </c>
      <c r="D120" t="s">
        <v>54</v>
      </c>
      <c r="E120" t="s">
        <v>55</v>
      </c>
      <c r="F120" t="s">
        <v>56</v>
      </c>
      <c r="G120" s="7">
        <v>4.5</v>
      </c>
      <c r="H120" s="7">
        <v>4.5</v>
      </c>
      <c r="I120" s="7">
        <v>4.416666666666667</v>
      </c>
      <c r="J120" s="7">
        <v>3.4</v>
      </c>
      <c r="K120" s="7">
        <v>3.6</v>
      </c>
      <c r="L120" t="s">
        <v>37</v>
      </c>
      <c r="M120" t="s">
        <v>70</v>
      </c>
      <c r="N120">
        <v>32</v>
      </c>
    </row>
    <row r="121" spans="1:14">
      <c r="A121" t="s">
        <v>182</v>
      </c>
      <c r="B121" s="6">
        <v>46414</v>
      </c>
      <c r="C121" t="s">
        <v>40</v>
      </c>
      <c r="D121" t="s">
        <v>34</v>
      </c>
      <c r="E121" t="s">
        <v>35</v>
      </c>
      <c r="F121" t="s">
        <v>36</v>
      </c>
      <c r="G121" s="7">
        <v>4.1000000000000005</v>
      </c>
      <c r="H121" s="7">
        <v>4.3000000000000007</v>
      </c>
      <c r="I121" s="7">
        <v>3.8333333333333335</v>
      </c>
      <c r="J121" s="7">
        <v>3.6307692307692307</v>
      </c>
      <c r="K121" s="7">
        <v>4</v>
      </c>
      <c r="L121" t="s">
        <v>66</v>
      </c>
      <c r="M121" t="s">
        <v>73</v>
      </c>
    </row>
    <row r="122" spans="1:14">
      <c r="A122" t="s">
        <v>183</v>
      </c>
      <c r="B122" s="6">
        <v>46415</v>
      </c>
      <c r="C122" t="s">
        <v>47</v>
      </c>
      <c r="D122" t="s">
        <v>41</v>
      </c>
      <c r="E122" t="s">
        <v>42</v>
      </c>
      <c r="F122" t="s">
        <v>43</v>
      </c>
      <c r="G122" s="7">
        <v>3.7</v>
      </c>
      <c r="H122" s="7">
        <v>3.5</v>
      </c>
      <c r="I122" s="7">
        <v>4.25</v>
      </c>
      <c r="J122" s="7">
        <v>3.8615384615384616</v>
      </c>
      <c r="K122" s="7">
        <v>4.4000000000000004</v>
      </c>
      <c r="L122" t="s">
        <v>69</v>
      </c>
      <c r="M122" t="s">
        <v>35</v>
      </c>
      <c r="N122">
        <v>50</v>
      </c>
    </row>
    <row r="123" spans="1:14">
      <c r="A123" t="s">
        <v>184</v>
      </c>
      <c r="B123" s="6">
        <v>46416</v>
      </c>
      <c r="C123" t="s">
        <v>53</v>
      </c>
      <c r="D123" t="s">
        <v>48</v>
      </c>
      <c r="E123" t="s">
        <v>49</v>
      </c>
      <c r="F123" t="s">
        <v>50</v>
      </c>
      <c r="G123" s="7">
        <v>4.166666666666667</v>
      </c>
      <c r="H123" s="7">
        <v>4.166666666666667</v>
      </c>
      <c r="I123" s="7">
        <v>3.6666666666666665</v>
      </c>
      <c r="J123" s="7">
        <v>4.092307692307692</v>
      </c>
      <c r="K123" s="7">
        <v>3.8000000000000003</v>
      </c>
      <c r="L123" t="s">
        <v>72</v>
      </c>
      <c r="M123" t="s">
        <v>45</v>
      </c>
      <c r="N123">
        <v>11</v>
      </c>
    </row>
    <row r="124" spans="1:14">
      <c r="A124" t="s">
        <v>185</v>
      </c>
      <c r="B124" s="6">
        <v>46417</v>
      </c>
      <c r="C124" t="s">
        <v>60</v>
      </c>
      <c r="D124" t="s">
        <v>54</v>
      </c>
      <c r="E124" t="s">
        <v>55</v>
      </c>
      <c r="F124" t="s">
        <v>56</v>
      </c>
      <c r="G124" s="7">
        <v>3.7666666666666671</v>
      </c>
      <c r="H124" s="7">
        <v>3.9666666666666672</v>
      </c>
      <c r="I124" s="7">
        <v>4.083333333333333</v>
      </c>
      <c r="J124" s="7">
        <v>4.3230769230769228</v>
      </c>
      <c r="K124" s="7">
        <v>4.2</v>
      </c>
      <c r="L124" t="s">
        <v>75</v>
      </c>
      <c r="M124" t="s">
        <v>38</v>
      </c>
      <c r="N124">
        <v>20</v>
      </c>
    </row>
    <row r="125" spans="1:14">
      <c r="A125" t="s">
        <v>186</v>
      </c>
      <c r="B125" s="6">
        <v>46418</v>
      </c>
      <c r="C125" t="s">
        <v>33</v>
      </c>
      <c r="D125" t="s">
        <v>34</v>
      </c>
      <c r="E125" t="s">
        <v>35</v>
      </c>
      <c r="F125" t="s">
        <v>36</v>
      </c>
      <c r="G125" s="7">
        <v>4.2333333333333334</v>
      </c>
      <c r="H125" s="7">
        <v>4.0333333333333332</v>
      </c>
      <c r="I125" s="7">
        <v>3.5</v>
      </c>
      <c r="J125" s="7">
        <v>3.4</v>
      </c>
      <c r="K125" s="7">
        <v>3.6</v>
      </c>
      <c r="L125" t="s">
        <v>35</v>
      </c>
      <c r="M125" t="s">
        <v>58</v>
      </c>
      <c r="N125">
        <v>0</v>
      </c>
    </row>
    <row r="126" spans="1:14">
      <c r="A126" t="s">
        <v>187</v>
      </c>
      <c r="B126" s="6">
        <v>46419</v>
      </c>
      <c r="C126" t="s">
        <v>40</v>
      </c>
      <c r="D126" t="s">
        <v>41</v>
      </c>
      <c r="E126" t="s">
        <v>42</v>
      </c>
      <c r="F126" t="s">
        <v>43</v>
      </c>
      <c r="G126" s="7">
        <v>3.8333333333333335</v>
      </c>
      <c r="H126" s="7">
        <v>3.8333333333333335</v>
      </c>
      <c r="I126" s="7">
        <v>3.9166666666666665</v>
      </c>
      <c r="J126" s="7">
        <v>3.6307692307692307</v>
      </c>
      <c r="K126" s="7">
        <v>4</v>
      </c>
      <c r="L126" t="s">
        <v>44</v>
      </c>
      <c r="M126" t="s">
        <v>62</v>
      </c>
      <c r="N126">
        <v>38</v>
      </c>
    </row>
    <row r="127" spans="1:14">
      <c r="A127" t="s">
        <v>188</v>
      </c>
      <c r="B127" s="6">
        <v>46420</v>
      </c>
      <c r="C127" t="s">
        <v>47</v>
      </c>
      <c r="D127" t="s">
        <v>48</v>
      </c>
      <c r="E127" t="s">
        <v>49</v>
      </c>
      <c r="F127" t="s">
        <v>50</v>
      </c>
      <c r="G127" s="7">
        <v>4.3</v>
      </c>
      <c r="H127" s="7">
        <v>4.5</v>
      </c>
      <c r="I127" s="7">
        <v>4.333333333333333</v>
      </c>
      <c r="J127" s="7">
        <v>3.8615384615384616</v>
      </c>
      <c r="K127" s="7">
        <v>4.4000000000000004</v>
      </c>
      <c r="L127" t="s">
        <v>51</v>
      </c>
      <c r="M127" t="s">
        <v>64</v>
      </c>
      <c r="N127">
        <v>47</v>
      </c>
    </row>
    <row r="128" spans="1:14">
      <c r="A128" t="s">
        <v>189</v>
      </c>
      <c r="B128" s="6">
        <v>46421</v>
      </c>
      <c r="C128" t="s">
        <v>53</v>
      </c>
      <c r="D128" t="s">
        <v>54</v>
      </c>
      <c r="E128" t="s">
        <v>55</v>
      </c>
      <c r="F128" t="s">
        <v>56</v>
      </c>
      <c r="G128" s="7">
        <v>3.9000000000000004</v>
      </c>
      <c r="H128" s="7">
        <v>3.7</v>
      </c>
      <c r="I128" s="7">
        <v>3.75</v>
      </c>
      <c r="J128" s="7">
        <v>4.092307692307692</v>
      </c>
      <c r="K128" s="7">
        <v>3.8000000000000003</v>
      </c>
      <c r="L128" t="s">
        <v>57</v>
      </c>
      <c r="M128" t="s">
        <v>67</v>
      </c>
      <c r="N128">
        <v>8</v>
      </c>
    </row>
    <row r="129" spans="1:14">
      <c r="A129" t="s">
        <v>190</v>
      </c>
      <c r="B129" s="6">
        <v>46422</v>
      </c>
      <c r="C129" t="s">
        <v>60</v>
      </c>
      <c r="D129" t="s">
        <v>34</v>
      </c>
      <c r="E129" t="s">
        <v>35</v>
      </c>
      <c r="F129" t="s">
        <v>36</v>
      </c>
      <c r="G129" s="7">
        <v>4.3666666666666671</v>
      </c>
      <c r="H129" s="7">
        <v>4.3666666666666671</v>
      </c>
      <c r="I129" s="7">
        <v>4.166666666666667</v>
      </c>
      <c r="J129" s="7">
        <v>4.3230769230769228</v>
      </c>
      <c r="K129" s="7">
        <v>4.2</v>
      </c>
      <c r="L129" t="s">
        <v>61</v>
      </c>
      <c r="M129" t="s">
        <v>70</v>
      </c>
      <c r="N129">
        <v>17</v>
      </c>
    </row>
    <row r="130" spans="1:14">
      <c r="A130" t="s">
        <v>191</v>
      </c>
      <c r="B130" s="6">
        <v>46423</v>
      </c>
      <c r="C130" t="s">
        <v>33</v>
      </c>
      <c r="D130" t="s">
        <v>41</v>
      </c>
      <c r="E130" t="s">
        <v>42</v>
      </c>
      <c r="F130" t="s">
        <v>43</v>
      </c>
      <c r="G130" s="7">
        <v>3.9666666666666668</v>
      </c>
      <c r="H130" s="7">
        <v>4.166666666666667</v>
      </c>
      <c r="I130" s="7">
        <v>3.5833333333333335</v>
      </c>
      <c r="J130" s="7">
        <v>3.4</v>
      </c>
      <c r="K130" s="7">
        <v>3.6</v>
      </c>
      <c r="L130" t="s">
        <v>37</v>
      </c>
      <c r="M130" t="s">
        <v>73</v>
      </c>
      <c r="N130">
        <v>26</v>
      </c>
    </row>
    <row r="131" spans="1:14">
      <c r="A131" t="s">
        <v>192</v>
      </c>
      <c r="B131" s="6">
        <v>46424</v>
      </c>
      <c r="C131" t="s">
        <v>40</v>
      </c>
      <c r="D131" t="s">
        <v>48</v>
      </c>
      <c r="E131" t="s">
        <v>49</v>
      </c>
      <c r="F131" t="s">
        <v>50</v>
      </c>
      <c r="G131" s="7">
        <v>4.4333333333333336</v>
      </c>
      <c r="H131" s="7">
        <v>4.2333333333333334</v>
      </c>
      <c r="I131" s="7">
        <v>4</v>
      </c>
      <c r="J131" s="7">
        <v>3.6307692307692307</v>
      </c>
      <c r="K131" s="7">
        <v>4</v>
      </c>
      <c r="L131" t="s">
        <v>66</v>
      </c>
      <c r="M131" t="s">
        <v>35</v>
      </c>
      <c r="N131">
        <v>35</v>
      </c>
    </row>
    <row r="132" spans="1:14">
      <c r="A132" t="s">
        <v>193</v>
      </c>
      <c r="B132" s="6">
        <v>46425</v>
      </c>
      <c r="C132" t="s">
        <v>47</v>
      </c>
      <c r="D132" t="s">
        <v>54</v>
      </c>
      <c r="E132" t="s">
        <v>55</v>
      </c>
      <c r="F132" t="s">
        <v>56</v>
      </c>
      <c r="G132" s="7">
        <v>4.0333333333333332</v>
      </c>
      <c r="H132" s="7">
        <v>4.0333333333333332</v>
      </c>
      <c r="I132" s="7">
        <v>4.416666666666667</v>
      </c>
      <c r="J132" s="7">
        <v>3.8615384615384616</v>
      </c>
      <c r="K132" s="7">
        <v>4.4000000000000004</v>
      </c>
      <c r="L132" t="s">
        <v>69</v>
      </c>
      <c r="M132" t="s">
        <v>45</v>
      </c>
      <c r="N132">
        <v>44</v>
      </c>
    </row>
    <row r="133" spans="1:14">
      <c r="A133" t="s">
        <v>194</v>
      </c>
      <c r="B133" s="6">
        <v>46426</v>
      </c>
      <c r="C133" t="s">
        <v>53</v>
      </c>
      <c r="D133" t="s">
        <v>34</v>
      </c>
      <c r="E133" t="s">
        <v>35</v>
      </c>
      <c r="F133" t="s">
        <v>36</v>
      </c>
      <c r="G133" s="7">
        <v>4.5</v>
      </c>
      <c r="H133" s="7">
        <v>4.7</v>
      </c>
      <c r="I133" s="7">
        <v>3.8333333333333335</v>
      </c>
      <c r="J133" s="7">
        <v>4.092307692307692</v>
      </c>
      <c r="K133" s="7">
        <v>3.8000000000000003</v>
      </c>
      <c r="L133" t="s">
        <v>72</v>
      </c>
      <c r="M133" t="s">
        <v>38</v>
      </c>
      <c r="N133">
        <v>5</v>
      </c>
    </row>
    <row r="134" spans="1:14">
      <c r="A134" t="s">
        <v>195</v>
      </c>
      <c r="B134" s="6">
        <v>46427</v>
      </c>
      <c r="C134" t="s">
        <v>60</v>
      </c>
      <c r="D134" t="s">
        <v>41</v>
      </c>
      <c r="E134" t="s">
        <v>42</v>
      </c>
      <c r="F134" t="s">
        <v>43</v>
      </c>
      <c r="G134" s="7">
        <v>4.1000000000000005</v>
      </c>
      <c r="H134" s="7">
        <v>3.9000000000000004</v>
      </c>
      <c r="I134" s="7">
        <v>4.25</v>
      </c>
      <c r="J134" s="7">
        <v>4.3230769230769228</v>
      </c>
      <c r="K134" s="7">
        <v>4.2</v>
      </c>
      <c r="L134" t="s">
        <v>75</v>
      </c>
      <c r="M134" t="s">
        <v>58</v>
      </c>
      <c r="N134">
        <v>14</v>
      </c>
    </row>
    <row r="135" spans="1:14">
      <c r="A135" t="s">
        <v>196</v>
      </c>
      <c r="B135" s="6">
        <v>46428</v>
      </c>
      <c r="C135" t="s">
        <v>33</v>
      </c>
      <c r="D135" t="s">
        <v>48</v>
      </c>
      <c r="E135" t="s">
        <v>49</v>
      </c>
      <c r="F135" t="s">
        <v>50</v>
      </c>
      <c r="G135" s="7">
        <v>3.7</v>
      </c>
      <c r="H135" s="7">
        <v>3.7</v>
      </c>
      <c r="I135" s="7">
        <v>3.6666666666666665</v>
      </c>
      <c r="J135" s="7">
        <v>3.4</v>
      </c>
      <c r="K135" s="7">
        <v>3.6</v>
      </c>
      <c r="L135" t="s">
        <v>35</v>
      </c>
      <c r="M135" t="s">
        <v>62</v>
      </c>
      <c r="N135">
        <v>0</v>
      </c>
    </row>
    <row r="136" spans="1:14">
      <c r="A136" t="s">
        <v>197</v>
      </c>
      <c r="B136" s="6">
        <v>46429</v>
      </c>
      <c r="C136" t="s">
        <v>40</v>
      </c>
      <c r="D136" t="s">
        <v>54</v>
      </c>
      <c r="E136" t="s">
        <v>55</v>
      </c>
      <c r="F136" t="s">
        <v>56</v>
      </c>
      <c r="G136" s="7">
        <v>4.166666666666667</v>
      </c>
      <c r="H136" s="7">
        <v>4.3666666666666671</v>
      </c>
      <c r="I136" s="7">
        <v>4.083333333333333</v>
      </c>
      <c r="J136" s="7">
        <v>3.6307692307692307</v>
      </c>
      <c r="K136" s="7">
        <v>4</v>
      </c>
      <c r="L136" t="s">
        <v>44</v>
      </c>
      <c r="M136" t="s">
        <v>64</v>
      </c>
      <c r="N136">
        <v>32</v>
      </c>
    </row>
    <row r="137" spans="1:14">
      <c r="A137" t="s">
        <v>198</v>
      </c>
      <c r="B137" s="6">
        <v>46430</v>
      </c>
      <c r="C137" t="s">
        <v>47</v>
      </c>
      <c r="D137" t="s">
        <v>34</v>
      </c>
      <c r="E137" t="s">
        <v>35</v>
      </c>
      <c r="F137" t="s">
        <v>36</v>
      </c>
      <c r="G137" s="7">
        <v>3.7666666666666671</v>
      </c>
      <c r="H137" s="7">
        <v>3.5666666666666669</v>
      </c>
      <c r="I137" s="7">
        <v>3.5</v>
      </c>
      <c r="J137" s="7">
        <v>3.8615384615384616</v>
      </c>
      <c r="K137" s="7">
        <v>4.4000000000000004</v>
      </c>
      <c r="L137" t="s">
        <v>51</v>
      </c>
      <c r="M137" t="s">
        <v>67</v>
      </c>
      <c r="N137">
        <v>41</v>
      </c>
    </row>
    <row r="138" spans="1:14">
      <c r="A138" t="s">
        <v>199</v>
      </c>
      <c r="B138" s="6">
        <v>46431</v>
      </c>
      <c r="C138" t="s">
        <v>53</v>
      </c>
      <c r="D138" t="s">
        <v>41</v>
      </c>
      <c r="E138" t="s">
        <v>42</v>
      </c>
      <c r="F138" t="s">
        <v>43</v>
      </c>
      <c r="G138" s="7">
        <v>4.2333333333333334</v>
      </c>
      <c r="H138" s="7">
        <v>4.2333333333333334</v>
      </c>
      <c r="I138" s="7">
        <v>3.9166666666666665</v>
      </c>
      <c r="J138" s="7">
        <v>4.092307692307692</v>
      </c>
      <c r="K138" s="7">
        <v>3.8000000000000003</v>
      </c>
      <c r="L138" t="s">
        <v>57</v>
      </c>
      <c r="M138" t="s">
        <v>70</v>
      </c>
      <c r="N138">
        <v>50</v>
      </c>
    </row>
    <row r="139" spans="1:14">
      <c r="A139" t="s">
        <v>200</v>
      </c>
      <c r="B139" s="6">
        <v>46432</v>
      </c>
      <c r="C139" t="s">
        <v>60</v>
      </c>
      <c r="D139" t="s">
        <v>48</v>
      </c>
      <c r="E139" t="s">
        <v>49</v>
      </c>
      <c r="F139" t="s">
        <v>50</v>
      </c>
      <c r="G139" s="7">
        <v>3.8333333333333335</v>
      </c>
      <c r="H139" s="7">
        <v>4.0333333333333332</v>
      </c>
      <c r="I139" s="7">
        <v>4.333333333333333</v>
      </c>
      <c r="J139" s="7">
        <v>4.3230769230769228</v>
      </c>
      <c r="K139" s="7">
        <v>4.2</v>
      </c>
      <c r="L139" t="s">
        <v>61</v>
      </c>
      <c r="M139" t="s">
        <v>73</v>
      </c>
      <c r="N139">
        <v>11</v>
      </c>
    </row>
    <row r="140" spans="1:14">
      <c r="A140" t="s">
        <v>201</v>
      </c>
      <c r="B140" s="6">
        <v>46433</v>
      </c>
      <c r="C140" t="s">
        <v>33</v>
      </c>
      <c r="D140" t="s">
        <v>54</v>
      </c>
      <c r="E140" t="s">
        <v>55</v>
      </c>
      <c r="F140" t="s">
        <v>56</v>
      </c>
      <c r="G140" s="7">
        <v>4.3</v>
      </c>
      <c r="H140" s="7">
        <v>4.0999999999999996</v>
      </c>
      <c r="I140" s="7">
        <v>3.75</v>
      </c>
      <c r="J140" s="7">
        <v>3.4</v>
      </c>
      <c r="K140" s="7">
        <v>3.6</v>
      </c>
      <c r="L140" t="s">
        <v>37</v>
      </c>
      <c r="M140" t="s">
        <v>35</v>
      </c>
      <c r="N140">
        <v>20</v>
      </c>
    </row>
    <row r="141" spans="1:14">
      <c r="A141" t="s">
        <v>202</v>
      </c>
      <c r="B141" s="6">
        <v>46434</v>
      </c>
      <c r="C141" t="s">
        <v>40</v>
      </c>
      <c r="D141" t="s">
        <v>34</v>
      </c>
      <c r="E141" t="s">
        <v>35</v>
      </c>
      <c r="F141" t="s">
        <v>36</v>
      </c>
      <c r="G141" s="7">
        <v>3.9000000000000004</v>
      </c>
      <c r="H141" s="7">
        <v>3.9000000000000004</v>
      </c>
      <c r="I141" s="7">
        <v>4.166666666666667</v>
      </c>
      <c r="J141" s="7">
        <v>3.6307692307692307</v>
      </c>
      <c r="K141" s="7">
        <v>4</v>
      </c>
      <c r="L141" t="s">
        <v>66</v>
      </c>
      <c r="M141" t="s">
        <v>45</v>
      </c>
      <c r="N141">
        <v>29</v>
      </c>
    </row>
    <row r="142" spans="1:14">
      <c r="A142" t="s">
        <v>203</v>
      </c>
      <c r="B142" s="6">
        <v>46435</v>
      </c>
      <c r="C142" t="s">
        <v>47</v>
      </c>
      <c r="D142" t="s">
        <v>41</v>
      </c>
      <c r="E142" t="s">
        <v>42</v>
      </c>
      <c r="F142" t="s">
        <v>43</v>
      </c>
      <c r="G142" s="7">
        <v>4.3666666666666671</v>
      </c>
      <c r="H142" s="7">
        <v>4.5666666666666673</v>
      </c>
      <c r="I142" s="7">
        <v>3.5833333333333335</v>
      </c>
      <c r="J142" s="7">
        <v>3.8615384615384616</v>
      </c>
      <c r="K142" s="7">
        <v>4.4000000000000004</v>
      </c>
      <c r="L142" t="s">
        <v>69</v>
      </c>
      <c r="M142" t="s">
        <v>38</v>
      </c>
      <c r="N142">
        <v>38</v>
      </c>
    </row>
    <row r="143" spans="1:14">
      <c r="A143" t="s">
        <v>204</v>
      </c>
      <c r="B143" s="6">
        <v>46436</v>
      </c>
      <c r="C143" t="s">
        <v>53</v>
      </c>
      <c r="D143" t="s">
        <v>48</v>
      </c>
      <c r="E143" t="s">
        <v>49</v>
      </c>
      <c r="F143" t="s">
        <v>50</v>
      </c>
      <c r="G143" s="7">
        <v>3.9666666666666668</v>
      </c>
      <c r="H143" s="7">
        <v>3.7666666666666666</v>
      </c>
      <c r="I143" s="7">
        <v>4</v>
      </c>
      <c r="J143" s="7">
        <v>4.092307692307692</v>
      </c>
      <c r="K143" s="7">
        <v>3.8000000000000003</v>
      </c>
      <c r="L143" t="s">
        <v>72</v>
      </c>
      <c r="M143" t="s">
        <v>58</v>
      </c>
      <c r="N143">
        <v>47</v>
      </c>
    </row>
    <row r="144" spans="1:14">
      <c r="A144" t="s">
        <v>205</v>
      </c>
      <c r="B144" s="6">
        <v>46437</v>
      </c>
      <c r="C144" t="s">
        <v>60</v>
      </c>
      <c r="D144" t="s">
        <v>54</v>
      </c>
      <c r="E144" t="s">
        <v>55</v>
      </c>
      <c r="F144" t="s">
        <v>56</v>
      </c>
      <c r="G144" s="7">
        <v>4.4333333333333336</v>
      </c>
      <c r="H144" s="7">
        <v>4.4333333333333336</v>
      </c>
      <c r="I144" s="7">
        <v>4.416666666666667</v>
      </c>
      <c r="J144" s="7">
        <v>4.3230769230769228</v>
      </c>
      <c r="K144" s="7">
        <v>4.2</v>
      </c>
      <c r="L144" t="s">
        <v>75</v>
      </c>
      <c r="M144" t="s">
        <v>62</v>
      </c>
      <c r="N144">
        <v>8</v>
      </c>
    </row>
    <row r="145" spans="1:14">
      <c r="A145" t="s">
        <v>206</v>
      </c>
      <c r="B145" s="6">
        <v>46438</v>
      </c>
      <c r="C145" t="s">
        <v>33</v>
      </c>
      <c r="D145" t="s">
        <v>34</v>
      </c>
      <c r="E145" t="s">
        <v>35</v>
      </c>
      <c r="F145" t="s">
        <v>36</v>
      </c>
      <c r="G145" s="7">
        <v>4.0333333333333332</v>
      </c>
      <c r="H145" s="7">
        <v>4.2333333333333334</v>
      </c>
      <c r="I145" s="7">
        <v>3.8333333333333335</v>
      </c>
      <c r="J145" s="7">
        <v>3.4</v>
      </c>
      <c r="K145" s="7">
        <v>3.6</v>
      </c>
      <c r="L145" t="s">
        <v>35</v>
      </c>
      <c r="M145" t="s">
        <v>64</v>
      </c>
      <c r="N145">
        <v>0</v>
      </c>
    </row>
    <row r="146" spans="1:14">
      <c r="A146" t="s">
        <v>207</v>
      </c>
      <c r="B146" s="6">
        <v>46439</v>
      </c>
      <c r="C146" t="s">
        <v>40</v>
      </c>
      <c r="D146" t="s">
        <v>41</v>
      </c>
      <c r="E146" t="s">
        <v>42</v>
      </c>
      <c r="F146" t="s">
        <v>43</v>
      </c>
      <c r="G146" s="7">
        <v>4.5</v>
      </c>
      <c r="H146" s="7">
        <v>4.3</v>
      </c>
      <c r="I146" s="7">
        <v>4.25</v>
      </c>
      <c r="J146" s="7">
        <v>3.6307692307692307</v>
      </c>
      <c r="K146" s="7">
        <v>4</v>
      </c>
      <c r="L146" t="s">
        <v>44</v>
      </c>
      <c r="M146" t="s">
        <v>67</v>
      </c>
      <c r="N146">
        <v>26</v>
      </c>
    </row>
    <row r="147" spans="1:14">
      <c r="A147" t="s">
        <v>208</v>
      </c>
      <c r="B147" s="6">
        <v>46440</v>
      </c>
      <c r="C147" t="s">
        <v>47</v>
      </c>
      <c r="D147" t="s">
        <v>48</v>
      </c>
      <c r="E147" t="s">
        <v>49</v>
      </c>
      <c r="F147" t="s">
        <v>50</v>
      </c>
      <c r="G147" s="7">
        <v>4.1000000000000005</v>
      </c>
      <c r="H147" s="7">
        <v>4.1000000000000005</v>
      </c>
      <c r="I147" s="7">
        <v>3.6666666666666665</v>
      </c>
      <c r="J147" s="7">
        <v>3.8615384615384616</v>
      </c>
      <c r="K147" s="7">
        <v>4.4000000000000004</v>
      </c>
      <c r="L147" t="s">
        <v>51</v>
      </c>
      <c r="M147" t="s">
        <v>70</v>
      </c>
      <c r="N147">
        <v>35</v>
      </c>
    </row>
    <row r="148" spans="1:14">
      <c r="A148" t="s">
        <v>209</v>
      </c>
      <c r="B148" s="6">
        <v>46441</v>
      </c>
      <c r="C148" t="s">
        <v>53</v>
      </c>
      <c r="D148" t="s">
        <v>54</v>
      </c>
      <c r="E148" t="s">
        <v>55</v>
      </c>
      <c r="F148" t="s">
        <v>56</v>
      </c>
      <c r="G148" s="7">
        <v>3.7</v>
      </c>
      <c r="H148" s="7">
        <v>3.9000000000000004</v>
      </c>
      <c r="I148" s="7">
        <v>4.083333333333333</v>
      </c>
      <c r="J148" s="7">
        <v>4.092307692307692</v>
      </c>
      <c r="K148" s="7">
        <v>3.8000000000000003</v>
      </c>
      <c r="L148" t="s">
        <v>57</v>
      </c>
      <c r="M148" t="s">
        <v>73</v>
      </c>
      <c r="N148">
        <v>44</v>
      </c>
    </row>
    <row r="149" spans="1:14">
      <c r="A149" t="s">
        <v>210</v>
      </c>
      <c r="B149" s="6">
        <v>46442</v>
      </c>
      <c r="C149" t="s">
        <v>60</v>
      </c>
      <c r="D149" t="s">
        <v>34</v>
      </c>
      <c r="E149" t="s">
        <v>35</v>
      </c>
      <c r="F149" t="s">
        <v>36</v>
      </c>
      <c r="G149" s="7">
        <v>4.166666666666667</v>
      </c>
      <c r="H149" s="7">
        <v>3.9666666666666668</v>
      </c>
      <c r="I149" s="7">
        <v>3.5</v>
      </c>
      <c r="J149" s="7">
        <v>4.3230769230769228</v>
      </c>
      <c r="K149" s="7">
        <v>4.2</v>
      </c>
      <c r="L149" t="s">
        <v>61</v>
      </c>
      <c r="M149" t="s">
        <v>35</v>
      </c>
      <c r="N149">
        <v>5</v>
      </c>
    </row>
    <row r="150" spans="1:14">
      <c r="A150" t="s">
        <v>211</v>
      </c>
      <c r="B150" s="6">
        <v>46443</v>
      </c>
      <c r="C150" t="s">
        <v>33</v>
      </c>
      <c r="D150" t="s">
        <v>41</v>
      </c>
      <c r="E150" t="s">
        <v>42</v>
      </c>
      <c r="F150" t="s">
        <v>43</v>
      </c>
      <c r="G150" s="7">
        <v>3.7666666666666671</v>
      </c>
      <c r="H150" s="7">
        <v>3.7666666666666671</v>
      </c>
      <c r="I150" s="7">
        <v>3.9166666666666665</v>
      </c>
      <c r="J150" s="7">
        <v>3.4</v>
      </c>
      <c r="K150" s="7">
        <v>3.6</v>
      </c>
      <c r="L150" t="s">
        <v>37</v>
      </c>
      <c r="M150" t="s">
        <v>45</v>
      </c>
    </row>
    <row r="151" spans="1:14">
      <c r="A151" t="s">
        <v>212</v>
      </c>
      <c r="B151" s="6">
        <v>46444</v>
      </c>
      <c r="C151" t="s">
        <v>40</v>
      </c>
      <c r="D151" t="s">
        <v>48</v>
      </c>
      <c r="E151" t="s">
        <v>49</v>
      </c>
      <c r="F151" t="s">
        <v>50</v>
      </c>
      <c r="G151" s="7">
        <v>4.2333333333333334</v>
      </c>
      <c r="H151" s="7">
        <v>4.4333333333333336</v>
      </c>
      <c r="I151" s="7">
        <v>4.333333333333333</v>
      </c>
      <c r="J151" s="7">
        <v>3.6307692307692307</v>
      </c>
      <c r="K151" s="7">
        <v>4</v>
      </c>
      <c r="L151" t="s">
        <v>66</v>
      </c>
      <c r="M151" t="s">
        <v>38</v>
      </c>
      <c r="N151">
        <v>23</v>
      </c>
    </row>
    <row r="152" spans="1:14">
      <c r="A152" t="s">
        <v>213</v>
      </c>
      <c r="B152" s="6">
        <v>46445</v>
      </c>
      <c r="C152" t="s">
        <v>47</v>
      </c>
      <c r="D152" t="s">
        <v>54</v>
      </c>
      <c r="E152" t="s">
        <v>55</v>
      </c>
      <c r="F152" t="s">
        <v>56</v>
      </c>
      <c r="G152" s="7">
        <v>3.8333333333333335</v>
      </c>
      <c r="H152" s="7">
        <v>3.6333333333333333</v>
      </c>
      <c r="I152" s="7">
        <v>3.75</v>
      </c>
      <c r="J152" s="7">
        <v>3.8615384615384616</v>
      </c>
      <c r="K152" s="7">
        <v>4.4000000000000004</v>
      </c>
      <c r="L152" t="s">
        <v>69</v>
      </c>
      <c r="M152" t="s">
        <v>58</v>
      </c>
      <c r="N152">
        <v>32</v>
      </c>
    </row>
    <row r="153" spans="1:14">
      <c r="A153" t="s">
        <v>214</v>
      </c>
      <c r="B153" s="6">
        <v>46446</v>
      </c>
      <c r="C153" t="s">
        <v>53</v>
      </c>
      <c r="D153" t="s">
        <v>34</v>
      </c>
      <c r="E153" t="s">
        <v>35</v>
      </c>
      <c r="F153" t="s">
        <v>36</v>
      </c>
      <c r="G153" s="7">
        <v>2.1</v>
      </c>
      <c r="H153" s="7">
        <v>4.3</v>
      </c>
      <c r="I153" s="7">
        <v>4.166666666666667</v>
      </c>
      <c r="J153" s="7">
        <v>4.092307692307692</v>
      </c>
      <c r="K153" s="7">
        <v>3.8000000000000003</v>
      </c>
      <c r="L153" t="s">
        <v>72</v>
      </c>
      <c r="M153" t="s">
        <v>67</v>
      </c>
      <c r="N153">
        <v>48</v>
      </c>
    </row>
    <row r="154" spans="1:14">
      <c r="A154" t="s">
        <v>215</v>
      </c>
      <c r="B154" s="6">
        <v>46447</v>
      </c>
      <c r="C154" t="s">
        <v>60</v>
      </c>
      <c r="D154" t="s">
        <v>41</v>
      </c>
      <c r="E154" t="s">
        <v>42</v>
      </c>
      <c r="F154" t="s">
        <v>43</v>
      </c>
      <c r="G154" s="7">
        <v>3.9000000000000004</v>
      </c>
      <c r="H154" s="7">
        <v>4.1000000000000005</v>
      </c>
      <c r="I154" s="7">
        <v>3.5833333333333335</v>
      </c>
      <c r="J154" s="7">
        <v>4.3230769230769228</v>
      </c>
      <c r="K154" s="7">
        <v>4.2</v>
      </c>
      <c r="L154" t="s">
        <v>75</v>
      </c>
      <c r="M154" t="s">
        <v>64</v>
      </c>
      <c r="N154">
        <v>50</v>
      </c>
    </row>
    <row r="155" spans="1:14">
      <c r="A155" t="s">
        <v>216</v>
      </c>
      <c r="B155" s="6">
        <v>46448</v>
      </c>
      <c r="C155" t="s">
        <v>33</v>
      </c>
      <c r="D155" t="s">
        <v>48</v>
      </c>
      <c r="E155" t="s">
        <v>49</v>
      </c>
      <c r="F155" t="s">
        <v>50</v>
      </c>
      <c r="G155" s="7">
        <v>4.3666666666666671</v>
      </c>
      <c r="H155" s="7">
        <v>4.166666666666667</v>
      </c>
      <c r="I155" s="7">
        <v>4</v>
      </c>
      <c r="J155" s="7">
        <v>3.4</v>
      </c>
      <c r="K155" s="7">
        <v>3.6</v>
      </c>
      <c r="L155" t="s">
        <v>35</v>
      </c>
      <c r="M155" t="s">
        <v>67</v>
      </c>
      <c r="N155">
        <v>0</v>
      </c>
    </row>
    <row r="156" spans="1:14">
      <c r="A156" t="s">
        <v>217</v>
      </c>
      <c r="B156" s="6">
        <v>46449</v>
      </c>
      <c r="C156" t="s">
        <v>40</v>
      </c>
      <c r="D156" t="s">
        <v>54</v>
      </c>
      <c r="E156" t="s">
        <v>55</v>
      </c>
      <c r="F156" t="s">
        <v>56</v>
      </c>
      <c r="G156" s="7">
        <v>3.9666666666666668</v>
      </c>
      <c r="H156" s="7">
        <v>3.9666666666666668</v>
      </c>
      <c r="I156" s="7">
        <v>4.416666666666667</v>
      </c>
      <c r="J156" s="7">
        <v>3.6307692307692307</v>
      </c>
      <c r="K156" s="7">
        <v>4</v>
      </c>
      <c r="L156" t="s">
        <v>44</v>
      </c>
      <c r="M156" t="s">
        <v>70</v>
      </c>
      <c r="N156">
        <v>20</v>
      </c>
    </row>
    <row r="157" spans="1:14">
      <c r="A157" t="s">
        <v>218</v>
      </c>
      <c r="B157" s="6">
        <v>46450</v>
      </c>
      <c r="C157" t="s">
        <v>47</v>
      </c>
      <c r="D157" t="s">
        <v>34</v>
      </c>
      <c r="E157" t="s">
        <v>35</v>
      </c>
      <c r="F157" t="s">
        <v>36</v>
      </c>
      <c r="G157" s="7">
        <v>4.4333333333333336</v>
      </c>
      <c r="H157" s="7">
        <v>4.6333333333333337</v>
      </c>
      <c r="I157" s="7">
        <v>3.8333333333333335</v>
      </c>
      <c r="J157" s="7">
        <v>3.8615384615384616</v>
      </c>
      <c r="K157" s="7">
        <v>4.4000000000000004</v>
      </c>
      <c r="L157" t="s">
        <v>51</v>
      </c>
      <c r="M157" t="s">
        <v>73</v>
      </c>
      <c r="N157">
        <v>29</v>
      </c>
    </row>
    <row r="158" spans="1:14">
      <c r="A158" t="s">
        <v>219</v>
      </c>
      <c r="B158" s="6">
        <v>46451</v>
      </c>
      <c r="C158" t="s">
        <v>53</v>
      </c>
      <c r="D158" t="s">
        <v>41</v>
      </c>
      <c r="E158" t="s">
        <v>42</v>
      </c>
      <c r="F158" t="s">
        <v>43</v>
      </c>
      <c r="G158" s="7">
        <v>4.0333333333333332</v>
      </c>
      <c r="H158" s="7">
        <v>3.833333333333333</v>
      </c>
      <c r="I158" s="7">
        <v>4.25</v>
      </c>
      <c r="J158" s="7">
        <v>4.092307692307692</v>
      </c>
      <c r="K158" s="7">
        <v>3.8000000000000003</v>
      </c>
      <c r="L158" t="s">
        <v>57</v>
      </c>
      <c r="M158" t="s">
        <v>35</v>
      </c>
      <c r="N158">
        <v>38</v>
      </c>
    </row>
    <row r="159" spans="1:14">
      <c r="A159" t="s">
        <v>220</v>
      </c>
      <c r="B159" s="6">
        <v>46452</v>
      </c>
      <c r="C159" t="s">
        <v>60</v>
      </c>
      <c r="D159" t="s">
        <v>48</v>
      </c>
      <c r="E159" t="s">
        <v>49</v>
      </c>
      <c r="F159" t="s">
        <v>50</v>
      </c>
      <c r="G159" s="7">
        <v>4.5</v>
      </c>
      <c r="H159" s="7">
        <v>4.5</v>
      </c>
      <c r="I159" s="7">
        <v>3.6666666666666665</v>
      </c>
      <c r="J159" s="7">
        <v>4.3230769230769228</v>
      </c>
      <c r="K159" s="7">
        <v>4.2</v>
      </c>
      <c r="L159" t="s">
        <v>61</v>
      </c>
      <c r="M159" t="s">
        <v>45</v>
      </c>
      <c r="N159">
        <v>47</v>
      </c>
    </row>
    <row r="160" spans="1:14">
      <c r="A160" t="s">
        <v>221</v>
      </c>
      <c r="B160" s="6">
        <v>46453</v>
      </c>
      <c r="C160" t="s">
        <v>33</v>
      </c>
      <c r="D160" t="s">
        <v>54</v>
      </c>
      <c r="E160" t="s">
        <v>55</v>
      </c>
      <c r="F160" t="s">
        <v>56</v>
      </c>
      <c r="G160" s="7">
        <v>4.1000000000000005</v>
      </c>
      <c r="H160" s="7">
        <v>4.3000000000000007</v>
      </c>
      <c r="I160" s="7">
        <v>4.083333333333333</v>
      </c>
      <c r="J160" s="7">
        <v>3.4</v>
      </c>
      <c r="K160" s="7">
        <v>3.6</v>
      </c>
      <c r="L160" t="s">
        <v>37</v>
      </c>
      <c r="M160" t="s">
        <v>38</v>
      </c>
      <c r="N160">
        <v>8</v>
      </c>
    </row>
    <row r="161" spans="1:14">
      <c r="A161" t="s">
        <v>222</v>
      </c>
      <c r="B161" s="6">
        <v>46454</v>
      </c>
      <c r="C161" t="s">
        <v>40</v>
      </c>
      <c r="D161" t="s">
        <v>34</v>
      </c>
      <c r="E161" t="s">
        <v>35</v>
      </c>
      <c r="F161" t="s">
        <v>36</v>
      </c>
      <c r="G161" s="7">
        <v>3.7</v>
      </c>
      <c r="H161" s="7">
        <v>3.5</v>
      </c>
      <c r="I161" s="7">
        <v>3.5</v>
      </c>
      <c r="J161" s="7">
        <v>3.6307692307692307</v>
      </c>
      <c r="K161" s="7">
        <v>4</v>
      </c>
      <c r="L161" t="s">
        <v>66</v>
      </c>
      <c r="M161" t="s">
        <v>58</v>
      </c>
      <c r="N161">
        <v>17</v>
      </c>
    </row>
    <row r="162" spans="1:14">
      <c r="A162" t="s">
        <v>223</v>
      </c>
      <c r="B162" s="6">
        <v>46455</v>
      </c>
      <c r="C162" t="s">
        <v>47</v>
      </c>
      <c r="D162" t="s">
        <v>41</v>
      </c>
      <c r="E162" t="s">
        <v>42</v>
      </c>
      <c r="F162" t="s">
        <v>43</v>
      </c>
      <c r="G162" s="7">
        <v>4.166666666666667</v>
      </c>
      <c r="H162" s="7">
        <v>4.166666666666667</v>
      </c>
      <c r="I162" s="7">
        <v>3.9166666666666665</v>
      </c>
      <c r="J162" s="7">
        <v>3.8615384615384616</v>
      </c>
      <c r="K162" s="7">
        <v>4.4000000000000004</v>
      </c>
      <c r="L162" t="s">
        <v>69</v>
      </c>
      <c r="M162" t="s">
        <v>62</v>
      </c>
      <c r="N162">
        <v>26</v>
      </c>
    </row>
    <row r="163" spans="1:14">
      <c r="A163" t="s">
        <v>224</v>
      </c>
      <c r="B163" s="6">
        <v>46456</v>
      </c>
      <c r="C163" t="s">
        <v>53</v>
      </c>
      <c r="D163" t="s">
        <v>48</v>
      </c>
      <c r="E163" t="s">
        <v>49</v>
      </c>
      <c r="F163" t="s">
        <v>50</v>
      </c>
      <c r="G163" s="7">
        <v>3.7666666666666671</v>
      </c>
      <c r="H163" s="7">
        <v>3.9666666666666672</v>
      </c>
      <c r="I163" s="7">
        <v>4.333333333333333</v>
      </c>
      <c r="J163" s="7">
        <v>4.092307692307692</v>
      </c>
      <c r="K163" s="7">
        <v>3.8000000000000003</v>
      </c>
      <c r="L163" t="s">
        <v>72</v>
      </c>
      <c r="M163" t="s">
        <v>64</v>
      </c>
      <c r="N163">
        <v>35</v>
      </c>
    </row>
    <row r="164" spans="1:14">
      <c r="A164" t="s">
        <v>225</v>
      </c>
      <c r="B164" s="6">
        <v>46457</v>
      </c>
      <c r="C164" t="s">
        <v>60</v>
      </c>
      <c r="D164" t="s">
        <v>54</v>
      </c>
      <c r="E164" t="s">
        <v>55</v>
      </c>
      <c r="F164" t="s">
        <v>56</v>
      </c>
      <c r="G164" s="7">
        <v>2.4</v>
      </c>
      <c r="H164" s="7">
        <v>4.0333333333333332</v>
      </c>
      <c r="I164" s="7">
        <v>3.75</v>
      </c>
      <c r="J164" s="7">
        <v>4.3230769230769228</v>
      </c>
      <c r="K164" s="7">
        <v>4.2</v>
      </c>
      <c r="L164" t="s">
        <v>37</v>
      </c>
      <c r="M164" t="s">
        <v>38</v>
      </c>
      <c r="N164">
        <v>12</v>
      </c>
    </row>
    <row r="165" spans="1:14">
      <c r="A165" t="s">
        <v>226</v>
      </c>
      <c r="B165" s="6">
        <v>46458</v>
      </c>
      <c r="C165" t="s">
        <v>33</v>
      </c>
      <c r="D165" t="s">
        <v>34</v>
      </c>
      <c r="E165" t="s">
        <v>35</v>
      </c>
      <c r="F165" t="s">
        <v>36</v>
      </c>
      <c r="G165" s="7">
        <v>3.8333333333333335</v>
      </c>
      <c r="H165" s="7">
        <v>3.8333333333333335</v>
      </c>
      <c r="I165" s="7">
        <v>4.166666666666667</v>
      </c>
      <c r="J165" s="7">
        <v>3.4</v>
      </c>
      <c r="K165" s="7">
        <v>3.6</v>
      </c>
      <c r="L165" t="s">
        <v>35</v>
      </c>
      <c r="M165" t="s">
        <v>70</v>
      </c>
      <c r="N165">
        <v>0</v>
      </c>
    </row>
    <row r="166" spans="1:14">
      <c r="A166" t="s">
        <v>227</v>
      </c>
      <c r="B166" s="6">
        <v>46459</v>
      </c>
      <c r="C166" t="s">
        <v>40</v>
      </c>
      <c r="D166" t="s">
        <v>41</v>
      </c>
      <c r="E166" t="s">
        <v>42</v>
      </c>
      <c r="F166" t="s">
        <v>43</v>
      </c>
      <c r="G166" s="7">
        <v>4.3</v>
      </c>
      <c r="H166" s="7">
        <v>4.5</v>
      </c>
      <c r="I166" s="7">
        <v>3.5833333333333335</v>
      </c>
      <c r="J166" s="7">
        <v>3.6307692307692307</v>
      </c>
      <c r="K166" s="7">
        <v>4</v>
      </c>
      <c r="L166" t="s">
        <v>44</v>
      </c>
      <c r="M166" t="s">
        <v>73</v>
      </c>
      <c r="N166">
        <v>14</v>
      </c>
    </row>
    <row r="167" spans="1:14">
      <c r="A167" t="s">
        <v>228</v>
      </c>
      <c r="B167" s="6">
        <v>46460</v>
      </c>
      <c r="C167" t="s">
        <v>47</v>
      </c>
      <c r="D167" t="s">
        <v>48</v>
      </c>
      <c r="E167" t="s">
        <v>49</v>
      </c>
      <c r="F167" t="s">
        <v>50</v>
      </c>
      <c r="G167" s="7">
        <v>3.9000000000000004</v>
      </c>
      <c r="H167" s="7">
        <v>3.7</v>
      </c>
      <c r="I167" s="7">
        <v>4</v>
      </c>
      <c r="J167" s="7">
        <v>3.8615384615384616</v>
      </c>
      <c r="K167" s="7">
        <v>4.4000000000000004</v>
      </c>
      <c r="L167" t="s">
        <v>51</v>
      </c>
      <c r="M167" t="s">
        <v>35</v>
      </c>
      <c r="N167">
        <v>23</v>
      </c>
    </row>
    <row r="168" spans="1:14">
      <c r="A168" t="s">
        <v>229</v>
      </c>
      <c r="B168" s="6">
        <v>46461</v>
      </c>
      <c r="C168" t="s">
        <v>53</v>
      </c>
      <c r="D168" t="s">
        <v>54</v>
      </c>
      <c r="E168" t="s">
        <v>55</v>
      </c>
      <c r="F168" t="s">
        <v>56</v>
      </c>
      <c r="G168" s="7">
        <v>4.3666666666666671</v>
      </c>
      <c r="H168" s="7">
        <v>4.3666666666666671</v>
      </c>
      <c r="I168" s="7">
        <v>4.416666666666667</v>
      </c>
      <c r="J168" s="7">
        <v>4.092307692307692</v>
      </c>
      <c r="K168" s="7">
        <v>3.8000000000000003</v>
      </c>
      <c r="L168" t="s">
        <v>57</v>
      </c>
      <c r="M168" t="s">
        <v>45</v>
      </c>
      <c r="N168">
        <v>32</v>
      </c>
    </row>
    <row r="169" spans="1:14">
      <c r="A169" t="s">
        <v>230</v>
      </c>
      <c r="B169" s="6">
        <v>46462</v>
      </c>
      <c r="C169" t="s">
        <v>60</v>
      </c>
      <c r="D169" t="s">
        <v>34</v>
      </c>
      <c r="E169" t="s">
        <v>35</v>
      </c>
      <c r="F169" t="s">
        <v>36</v>
      </c>
      <c r="G169" s="7">
        <v>3.9666666666666668</v>
      </c>
      <c r="H169" s="7">
        <v>4.166666666666667</v>
      </c>
      <c r="I169" s="7">
        <v>3.8333333333333335</v>
      </c>
      <c r="J169" s="7">
        <v>4.3230769230769228</v>
      </c>
      <c r="K169" s="7">
        <v>4.2</v>
      </c>
      <c r="L169" t="s">
        <v>61</v>
      </c>
      <c r="M169" t="s">
        <v>38</v>
      </c>
      <c r="N169">
        <v>41</v>
      </c>
    </row>
    <row r="170" spans="1:14">
      <c r="A170" t="s">
        <v>231</v>
      </c>
      <c r="B170" s="6">
        <v>46463</v>
      </c>
      <c r="C170" t="s">
        <v>33</v>
      </c>
      <c r="D170" t="s">
        <v>41</v>
      </c>
      <c r="E170" t="s">
        <v>42</v>
      </c>
      <c r="F170" t="s">
        <v>43</v>
      </c>
      <c r="G170" s="7">
        <v>4.4333333333333336</v>
      </c>
      <c r="H170" s="7">
        <v>4.2333333333333334</v>
      </c>
      <c r="I170" s="7">
        <v>4.25</v>
      </c>
      <c r="J170" s="7">
        <v>3.4</v>
      </c>
      <c r="K170" s="7">
        <v>3.6</v>
      </c>
      <c r="L170" t="s">
        <v>37</v>
      </c>
      <c r="M170" t="s">
        <v>58</v>
      </c>
      <c r="N170">
        <v>50</v>
      </c>
    </row>
    <row r="171" spans="1:14">
      <c r="A171" t="s">
        <v>232</v>
      </c>
      <c r="B171" s="6">
        <v>46464</v>
      </c>
      <c r="C171" t="s">
        <v>40</v>
      </c>
      <c r="D171" t="s">
        <v>48</v>
      </c>
      <c r="E171" t="s">
        <v>49</v>
      </c>
      <c r="F171" t="s">
        <v>50</v>
      </c>
      <c r="G171" s="7">
        <v>4.0333333333333332</v>
      </c>
      <c r="H171" s="7">
        <v>4.0333333333333332</v>
      </c>
      <c r="I171" s="7">
        <v>3.6666666666666665</v>
      </c>
      <c r="J171" s="7">
        <v>3.6307692307692307</v>
      </c>
      <c r="K171" s="7">
        <v>4</v>
      </c>
      <c r="L171" t="s">
        <v>66</v>
      </c>
      <c r="M171" t="s">
        <v>62</v>
      </c>
      <c r="N171">
        <v>11</v>
      </c>
    </row>
    <row r="172" spans="1:14">
      <c r="A172" t="s">
        <v>233</v>
      </c>
      <c r="B172" s="6">
        <v>46465</v>
      </c>
      <c r="C172" t="s">
        <v>47</v>
      </c>
      <c r="D172" t="s">
        <v>54</v>
      </c>
      <c r="E172" t="s">
        <v>55</v>
      </c>
      <c r="F172" t="s">
        <v>56</v>
      </c>
      <c r="G172" s="7">
        <v>4.5</v>
      </c>
      <c r="H172" s="7">
        <v>4.7</v>
      </c>
      <c r="I172" s="7">
        <v>4.083333333333333</v>
      </c>
      <c r="J172" s="7">
        <v>3.8615384615384616</v>
      </c>
      <c r="K172" s="7">
        <v>4.4000000000000004</v>
      </c>
      <c r="L172" t="s">
        <v>69</v>
      </c>
      <c r="M172" t="s">
        <v>64</v>
      </c>
      <c r="N172">
        <v>20</v>
      </c>
    </row>
    <row r="173" spans="1:14">
      <c r="A173" t="s">
        <v>234</v>
      </c>
      <c r="B173" s="6">
        <v>46466</v>
      </c>
      <c r="C173" t="s">
        <v>53</v>
      </c>
      <c r="D173" t="s">
        <v>34</v>
      </c>
      <c r="E173" t="s">
        <v>35</v>
      </c>
      <c r="F173" t="s">
        <v>36</v>
      </c>
      <c r="G173" s="7">
        <v>4.1000000000000005</v>
      </c>
      <c r="H173" s="7">
        <v>3.9000000000000004</v>
      </c>
      <c r="I173" s="7">
        <v>3.5</v>
      </c>
      <c r="J173" s="7">
        <v>4.092307692307692</v>
      </c>
      <c r="K173" s="7">
        <v>3.8000000000000003</v>
      </c>
      <c r="L173" t="s">
        <v>72</v>
      </c>
      <c r="M173" t="s">
        <v>67</v>
      </c>
      <c r="N173">
        <v>29</v>
      </c>
    </row>
    <row r="174" spans="1:14">
      <c r="A174" t="s">
        <v>235</v>
      </c>
      <c r="B174" s="6">
        <v>46467</v>
      </c>
      <c r="C174" t="s">
        <v>60</v>
      </c>
      <c r="D174" t="s">
        <v>41</v>
      </c>
      <c r="E174" t="s">
        <v>42</v>
      </c>
      <c r="F174" t="s">
        <v>43</v>
      </c>
      <c r="G174" s="7">
        <v>3.7</v>
      </c>
      <c r="H174" s="7">
        <v>3.7</v>
      </c>
      <c r="I174" s="7">
        <v>3.9166666666666665</v>
      </c>
      <c r="J174" s="7">
        <v>4.3230769230769228</v>
      </c>
      <c r="K174" s="7">
        <v>4.2</v>
      </c>
      <c r="L174" t="s">
        <v>75</v>
      </c>
      <c r="M174" t="s">
        <v>70</v>
      </c>
      <c r="N174">
        <v>38</v>
      </c>
    </row>
    <row r="175" spans="1:14">
      <c r="A175" t="s">
        <v>236</v>
      </c>
      <c r="B175" s="6">
        <v>46468</v>
      </c>
      <c r="C175" t="s">
        <v>33</v>
      </c>
      <c r="D175" t="s">
        <v>48</v>
      </c>
      <c r="E175" t="s">
        <v>49</v>
      </c>
      <c r="F175" t="s">
        <v>50</v>
      </c>
      <c r="G175" s="7">
        <v>4.166666666666667</v>
      </c>
      <c r="H175" s="7">
        <v>4.3666666666666671</v>
      </c>
      <c r="I175" s="7">
        <v>4.333333333333333</v>
      </c>
      <c r="J175" s="7">
        <v>3.4</v>
      </c>
      <c r="K175" s="7">
        <v>3.6</v>
      </c>
      <c r="L175" t="s">
        <v>35</v>
      </c>
      <c r="M175" t="s">
        <v>73</v>
      </c>
      <c r="N175">
        <v>0</v>
      </c>
    </row>
    <row r="176" spans="1:14">
      <c r="A176" t="s">
        <v>237</v>
      </c>
      <c r="B176" s="6">
        <v>46469</v>
      </c>
      <c r="C176" t="s">
        <v>40</v>
      </c>
      <c r="D176" t="s">
        <v>54</v>
      </c>
      <c r="E176" t="s">
        <v>55</v>
      </c>
      <c r="F176" t="s">
        <v>56</v>
      </c>
      <c r="G176" s="7">
        <v>3.7666666666666671</v>
      </c>
      <c r="H176" s="7">
        <v>3.5666666666666669</v>
      </c>
      <c r="I176" s="7">
        <v>3.75</v>
      </c>
      <c r="J176" s="7">
        <v>3.6307692307692307</v>
      </c>
      <c r="K176" s="7">
        <v>4</v>
      </c>
      <c r="L176" t="s">
        <v>44</v>
      </c>
      <c r="M176" t="s">
        <v>35</v>
      </c>
      <c r="N176">
        <v>8</v>
      </c>
    </row>
    <row r="177" spans="1:14">
      <c r="A177" t="s">
        <v>238</v>
      </c>
      <c r="B177" s="6">
        <v>46470</v>
      </c>
      <c r="C177" t="s">
        <v>47</v>
      </c>
      <c r="D177" t="s">
        <v>34</v>
      </c>
      <c r="E177" t="s">
        <v>35</v>
      </c>
      <c r="F177" t="s">
        <v>36</v>
      </c>
      <c r="G177" s="7">
        <v>4.2333333333333334</v>
      </c>
      <c r="H177" s="7">
        <v>4.2333333333333334</v>
      </c>
      <c r="I177" s="7">
        <v>4.166666666666667</v>
      </c>
      <c r="J177" s="7">
        <v>3.8615384615384616</v>
      </c>
      <c r="K177" s="7">
        <v>4.4000000000000004</v>
      </c>
      <c r="L177" t="s">
        <v>51</v>
      </c>
      <c r="M177" t="s">
        <v>45</v>
      </c>
      <c r="N177">
        <v>17</v>
      </c>
    </row>
    <row r="178" spans="1:14">
      <c r="A178" t="s">
        <v>239</v>
      </c>
      <c r="B178" s="6">
        <v>46471</v>
      </c>
      <c r="C178" t="s">
        <v>53</v>
      </c>
      <c r="D178" t="s">
        <v>41</v>
      </c>
      <c r="E178" t="s">
        <v>42</v>
      </c>
      <c r="F178" t="s">
        <v>43</v>
      </c>
      <c r="G178" s="7">
        <v>3.8333333333333335</v>
      </c>
      <c r="H178" s="7">
        <v>4.0333333333333332</v>
      </c>
      <c r="I178" s="7">
        <v>3.5833333333333335</v>
      </c>
      <c r="J178" s="7">
        <v>4.092307692307692</v>
      </c>
      <c r="K178" s="7">
        <v>3.8000000000000003</v>
      </c>
      <c r="L178" t="s">
        <v>57</v>
      </c>
      <c r="M178" t="s">
        <v>38</v>
      </c>
      <c r="N178">
        <v>26</v>
      </c>
    </row>
    <row r="179" spans="1:14">
      <c r="A179" t="s">
        <v>240</v>
      </c>
      <c r="B179" s="6">
        <v>46472</v>
      </c>
      <c r="C179" t="s">
        <v>60</v>
      </c>
      <c r="D179" t="s">
        <v>48</v>
      </c>
      <c r="E179" t="s">
        <v>49</v>
      </c>
      <c r="F179" t="s">
        <v>50</v>
      </c>
      <c r="G179" s="7">
        <v>4.3</v>
      </c>
      <c r="H179" s="7">
        <v>4.0999999999999996</v>
      </c>
      <c r="I179" s="7">
        <v>4</v>
      </c>
      <c r="J179" s="7">
        <v>4.3230769230769228</v>
      </c>
      <c r="K179" s="7">
        <v>4.2</v>
      </c>
      <c r="L179" t="s">
        <v>61</v>
      </c>
      <c r="M179" t="s">
        <v>58</v>
      </c>
    </row>
    <row r="180" spans="1:14">
      <c r="A180" t="s">
        <v>241</v>
      </c>
      <c r="B180" s="6">
        <v>46473</v>
      </c>
      <c r="C180" t="s">
        <v>33</v>
      </c>
      <c r="D180" t="s">
        <v>54</v>
      </c>
      <c r="E180" t="s">
        <v>55</v>
      </c>
      <c r="F180" t="s">
        <v>56</v>
      </c>
      <c r="G180" s="7">
        <v>3.9000000000000004</v>
      </c>
      <c r="H180" s="7">
        <v>3.9000000000000004</v>
      </c>
      <c r="I180" s="7">
        <v>4.416666666666667</v>
      </c>
      <c r="J180" s="7">
        <v>3.4</v>
      </c>
      <c r="K180" s="7">
        <v>3.6</v>
      </c>
      <c r="L180" t="s">
        <v>37</v>
      </c>
      <c r="M180" t="s">
        <v>62</v>
      </c>
      <c r="N180">
        <v>44</v>
      </c>
    </row>
    <row r="181" spans="1:14">
      <c r="A181" t="s">
        <v>242</v>
      </c>
      <c r="B181" s="6">
        <v>46474</v>
      </c>
      <c r="C181" t="s">
        <v>40</v>
      </c>
      <c r="D181" t="s">
        <v>34</v>
      </c>
      <c r="E181" t="s">
        <v>35</v>
      </c>
      <c r="F181" t="s">
        <v>36</v>
      </c>
      <c r="G181" s="7">
        <v>4.3666666666666671</v>
      </c>
      <c r="H181" s="7">
        <v>4.5666666666666673</v>
      </c>
      <c r="I181" s="7">
        <v>3.8333333333333335</v>
      </c>
      <c r="J181" s="7">
        <v>3.6307692307692307</v>
      </c>
      <c r="K181" s="7">
        <v>4</v>
      </c>
      <c r="L181" t="s">
        <v>66</v>
      </c>
      <c r="M181" t="s">
        <v>64</v>
      </c>
      <c r="N181">
        <v>5</v>
      </c>
    </row>
    <row r="182" spans="1:14">
      <c r="A182" t="s">
        <v>243</v>
      </c>
      <c r="B182" s="6">
        <v>46475</v>
      </c>
      <c r="C182" t="s">
        <v>47</v>
      </c>
      <c r="D182" t="s">
        <v>41</v>
      </c>
      <c r="E182" t="s">
        <v>42</v>
      </c>
      <c r="F182" t="s">
        <v>43</v>
      </c>
      <c r="G182" s="7">
        <v>3.9666666666666668</v>
      </c>
      <c r="H182" s="7">
        <v>3.7666666666666666</v>
      </c>
      <c r="I182" s="7">
        <v>4.25</v>
      </c>
      <c r="J182" s="7">
        <v>3.8615384615384616</v>
      </c>
      <c r="K182" s="7">
        <v>4.4000000000000004</v>
      </c>
      <c r="L182" t="s">
        <v>69</v>
      </c>
      <c r="M182" t="s">
        <v>67</v>
      </c>
      <c r="N182">
        <v>14</v>
      </c>
    </row>
    <row r="183" spans="1:14">
      <c r="A183" t="s">
        <v>244</v>
      </c>
      <c r="B183" s="6">
        <v>46476</v>
      </c>
      <c r="C183" t="s">
        <v>53</v>
      </c>
      <c r="D183" t="s">
        <v>48</v>
      </c>
      <c r="E183" t="s">
        <v>49</v>
      </c>
      <c r="F183" t="s">
        <v>50</v>
      </c>
      <c r="G183" s="7">
        <v>4.4333333333333336</v>
      </c>
      <c r="H183" s="7">
        <v>4.4333333333333336</v>
      </c>
      <c r="I183" s="7">
        <v>3.6666666666666665</v>
      </c>
      <c r="J183" s="7">
        <v>4.092307692307692</v>
      </c>
      <c r="K183" s="7">
        <v>3.8000000000000003</v>
      </c>
      <c r="L183" t="s">
        <v>72</v>
      </c>
      <c r="M183" t="s">
        <v>70</v>
      </c>
      <c r="N183">
        <v>23</v>
      </c>
    </row>
    <row r="184" spans="1:14">
      <c r="A184" t="s">
        <v>245</v>
      </c>
      <c r="B184" s="6">
        <v>46477</v>
      </c>
      <c r="C184" t="s">
        <v>60</v>
      </c>
      <c r="D184" t="s">
        <v>54</v>
      </c>
      <c r="E184" t="s">
        <v>55</v>
      </c>
      <c r="F184" t="s">
        <v>56</v>
      </c>
      <c r="G184" s="7">
        <v>4.0333333333333332</v>
      </c>
      <c r="H184" s="7">
        <v>4.2333333333333334</v>
      </c>
      <c r="I184" s="7">
        <v>4.083333333333333</v>
      </c>
      <c r="J184" s="7">
        <v>4.3230769230769228</v>
      </c>
      <c r="K184" s="7">
        <v>4.2</v>
      </c>
      <c r="L184" t="s">
        <v>75</v>
      </c>
      <c r="M184" t="s">
        <v>73</v>
      </c>
      <c r="N184">
        <v>32</v>
      </c>
    </row>
  </sheetData>
  <mergeCells count="2">
    <mergeCell ref="A1:N1"/>
    <mergeCell ref="A2:N2"/>
  </mergeCells>
  <conditionalFormatting sqref="N5:N184">
    <cfRule type="containsBlanks" dxfId="7" priority="1">
      <formula>LEN(TRIM(N5))=0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B5C5A-591F-4B97-95F8-74F9F9019204}">
  <dimension ref="A1:G9"/>
  <sheetViews>
    <sheetView workbookViewId="0"/>
  </sheetViews>
  <sheetFormatPr defaultRowHeight="15"/>
  <cols>
    <col min="1" max="3" width="30.42578125" customWidth="1"/>
  </cols>
  <sheetData>
    <row r="1" spans="1:7" ht="30" customHeight="1">
      <c r="A1" s="9" t="s">
        <v>246</v>
      </c>
      <c r="B1" s="9"/>
      <c r="C1" s="9"/>
      <c r="D1" s="9"/>
      <c r="E1" s="9"/>
      <c r="F1" s="9"/>
      <c r="G1" s="9"/>
    </row>
    <row r="2" spans="1:7" ht="27.75" customHeight="1">
      <c r="A2" s="1" t="s">
        <v>247</v>
      </c>
      <c r="B2" s="1"/>
      <c r="C2" s="1"/>
      <c r="D2" s="1"/>
      <c r="E2" s="1"/>
      <c r="F2" s="1"/>
      <c r="G2" s="1"/>
    </row>
    <row r="4" spans="1:7" ht="27.75" customHeight="1">
      <c r="A4" s="5" t="s">
        <v>20</v>
      </c>
      <c r="B4" s="5" t="s">
        <v>248</v>
      </c>
      <c r="C4" s="5" t="s">
        <v>249</v>
      </c>
    </row>
    <row r="5" spans="1:7">
      <c r="A5" t="s">
        <v>33</v>
      </c>
      <c r="B5">
        <f>COUNTIF(tblGuestFeedback[Guest Segment],A5)</f>
        <v>36</v>
      </c>
      <c r="C5" s="8">
        <f>AVERAGEIF(tblGuestFeedback[Guest Segment],A5,tblGuestFeedback[Overall Rating])</f>
        <v>4.052777777777778</v>
      </c>
    </row>
    <row r="6" spans="1:7">
      <c r="A6" t="s">
        <v>40</v>
      </c>
      <c r="B6">
        <f>COUNTIF(tblGuestFeedback[Guest Segment],A6)</f>
        <v>36</v>
      </c>
      <c r="C6" s="8">
        <f>AVERAGEIF(tblGuestFeedback[Guest Segment],A6,tblGuestFeedback[Overall Rating])</f>
        <v>3.9972222222222231</v>
      </c>
    </row>
    <row r="7" spans="1:7">
      <c r="A7" t="s">
        <v>47</v>
      </c>
      <c r="B7">
        <f>COUNTIF(tblGuestFeedback[Guest Segment],A7)</f>
        <v>36</v>
      </c>
      <c r="C7" s="8">
        <f>AVERAGEIF(tblGuestFeedback[Guest Segment],A7,tblGuestFeedback[Overall Rating])</f>
        <v>3.9749999999999996</v>
      </c>
    </row>
    <row r="8" spans="1:7">
      <c r="A8" t="s">
        <v>53</v>
      </c>
      <c r="B8">
        <f>COUNTIF(tblGuestFeedback[Guest Segment],A8)</f>
        <v>36</v>
      </c>
      <c r="C8" s="8">
        <f>AVERAGEIF(tblGuestFeedback[Guest Segment],A8,tblGuestFeedback[Overall Rating])</f>
        <v>3.9824074074074076</v>
      </c>
    </row>
    <row r="9" spans="1:7">
      <c r="A9" t="s">
        <v>60</v>
      </c>
      <c r="B9">
        <f>COUNTIF(tblGuestFeedback[Guest Segment],A9)</f>
        <v>36</v>
      </c>
      <c r="C9" s="8">
        <f>AVERAGEIF(tblGuestFeedback[Guest Segment],A9,tblGuestFeedback[Overall Rating])</f>
        <v>3.986111111111112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C359B-107E-433C-9724-2BD176DE1944}">
  <dimension ref="A1:H9"/>
  <sheetViews>
    <sheetView workbookViewId="0"/>
  </sheetViews>
  <sheetFormatPr defaultRowHeight="15"/>
  <cols>
    <col min="1" max="1" width="22.85546875" customWidth="1"/>
    <col min="2" max="2" width="81.85546875" customWidth="1"/>
    <col min="3" max="3" width="53.28515625" customWidth="1"/>
  </cols>
  <sheetData>
    <row r="1" spans="1:8" ht="30" customHeight="1">
      <c r="A1" s="9" t="s">
        <v>250</v>
      </c>
      <c r="B1" s="9"/>
      <c r="C1" s="9"/>
      <c r="D1" s="9"/>
      <c r="E1" s="9"/>
      <c r="F1" s="9"/>
      <c r="G1" s="9"/>
      <c r="H1" s="9"/>
    </row>
    <row r="2" spans="1:8" ht="27.75" customHeight="1">
      <c r="A2" s="1" t="s">
        <v>251</v>
      </c>
      <c r="B2" s="1"/>
      <c r="C2" s="1"/>
      <c r="D2" s="1"/>
      <c r="E2" s="1"/>
      <c r="F2" s="1"/>
      <c r="G2" s="1"/>
      <c r="H2" s="1"/>
    </row>
    <row r="4" spans="1:8" ht="27.75" customHeight="1">
      <c r="A4" s="5" t="s">
        <v>252</v>
      </c>
      <c r="B4" s="5" t="s">
        <v>253</v>
      </c>
      <c r="C4" s="5" t="s">
        <v>254</v>
      </c>
    </row>
    <row r="5" spans="1:8" ht="91.5">
      <c r="A5" s="2" t="s">
        <v>255</v>
      </c>
      <c r="B5" s="4" t="s">
        <v>256</v>
      </c>
      <c r="C5" s="4" t="s">
        <v>257</v>
      </c>
    </row>
    <row r="6" spans="1:8" ht="183">
      <c r="A6" s="2" t="s">
        <v>258</v>
      </c>
      <c r="B6" s="4" t="s">
        <v>259</v>
      </c>
      <c r="C6" s="4" t="s">
        <v>260</v>
      </c>
    </row>
    <row r="7" spans="1:8" ht="106.5">
      <c r="A7" s="2" t="s">
        <v>261</v>
      </c>
      <c r="B7" s="4" t="s">
        <v>262</v>
      </c>
      <c r="C7" s="4" t="s">
        <v>263</v>
      </c>
    </row>
    <row r="8" spans="1:8" ht="198">
      <c r="A8" s="2" t="s">
        <v>264</v>
      </c>
      <c r="B8" s="4" t="s">
        <v>265</v>
      </c>
      <c r="C8" s="4" t="s">
        <v>266</v>
      </c>
    </row>
    <row r="9" spans="1:8" ht="152.25">
      <c r="A9" s="2" t="s">
        <v>267</v>
      </c>
      <c r="B9" s="4" t="s">
        <v>268</v>
      </c>
      <c r="C9" s="4" t="s">
        <v>269</v>
      </c>
    </row>
  </sheetData>
  <mergeCells count="2">
    <mergeCell ref="A1:H1"/>
    <mergeCell ref="A2:H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Nuttapong Wong-aree</cp:lastModifiedBy>
  <cp:revision/>
  <dcterms:created xsi:type="dcterms:W3CDTF">2026-10-24T10:45:12Z</dcterms:created>
  <dcterms:modified xsi:type="dcterms:W3CDTF">2026-10-24T10:47:07Z</dcterms:modified>
  <cp:category/>
  <cp:contentStatus/>
</cp:coreProperties>
</file>