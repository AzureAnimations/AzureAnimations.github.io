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79" documentId="11_F49075F89F23B20D016A0FA17EA66BB617A0249E" xr6:coauthVersionLast="47" xr6:coauthVersionMax="47" xr10:uidLastSave="{CA45F213-2F9A-4239-AB93-FC5005D24ED7}"/>
  <bookViews>
    <workbookView xWindow="0" yWindow="0" windowWidth="0" windowHeight="0" xr2:uid="{00000000-000D-0000-FFFF-FFFF00000000}"/>
  </bookViews>
  <sheets>
    <sheet name="Start Here" sheetId="2" r:id="rId1"/>
    <sheet name="Daily Performance" sheetId="3" r:id="rId2"/>
    <sheet name="Analysis Questio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3" l="1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</calcChain>
</file>

<file path=xl/sharedStrings.xml><?xml version="1.0" encoding="utf-8"?>
<sst xmlns="http://schemas.openxmlformats.org/spreadsheetml/2006/main" count="232" uniqueCount="65">
  <si>
    <t>Hotel Daily Performance</t>
  </si>
  <si>
    <t>Focused learner file 1 of 5. Investigate demand, revenue, waits, complaints, room readiness, and counterexamples. Fictional data.</t>
  </si>
  <si>
    <t>Business question</t>
  </si>
  <si>
    <t>When does demand coincide with service pressure, and when does it not?</t>
  </si>
  <si>
    <t>Use with Excel Copilot</t>
  </si>
  <si>
    <t>Identify unusual days and inspect the source rows.</t>
  </si>
  <si>
    <t>Use with Copilot Chat</t>
  </si>
  <si>
    <t>Attach this file alone for a fast performance briefing.</t>
  </si>
  <si>
    <t>Evidence rule</t>
  </si>
  <si>
    <t>Timing and correlation do not prove cause.</t>
  </si>
  <si>
    <t>Key anomaly</t>
  </si>
  <si>
    <t>One high-demand day has poor service; another has excellent service.</t>
  </si>
  <si>
    <t>Missing evidence</t>
  </si>
  <si>
    <t>Operational sheets in other files are needed to explain why.</t>
  </si>
  <si>
    <t>Core output</t>
  </si>
  <si>
    <t>A five-signal briefing plus a list of days to investigate.</t>
  </si>
  <si>
    <t>Daily Performance</t>
  </si>
  <si>
    <t>90 operating days with deliberate counterexamples and outliers.</t>
  </si>
  <si>
    <t>Date</t>
  </si>
  <si>
    <t>Day</t>
  </si>
  <si>
    <t>Occupancy Rate</t>
  </si>
  <si>
    <t>Rooms Available</t>
  </si>
  <si>
    <t>Rooms Sold</t>
  </si>
  <si>
    <t>ADR</t>
  </si>
  <si>
    <t>RevPAR</t>
  </si>
  <si>
    <t>Guest Rating</t>
  </si>
  <si>
    <t>Complaints</t>
  </si>
  <si>
    <t>Check-in Wait Min</t>
  </si>
  <si>
    <t>Facility Wait Avg Min</t>
  </si>
  <si>
    <t>Housekeeping Delay Min</t>
  </si>
  <si>
    <t>Operating Cost</t>
  </si>
  <si>
    <t>Notes</t>
  </si>
  <si>
    <t>Mon</t>
  </si>
  <si>
    <t>Normal pattern</t>
  </si>
  <si>
    <t>Tue</t>
  </si>
  <si>
    <t>Wed</t>
  </si>
  <si>
    <t>Thu</t>
  </si>
  <si>
    <t>Fri</t>
  </si>
  <si>
    <t>Sat</t>
  </si>
  <si>
    <t>Sun</t>
  </si>
  <si>
    <t>Demand spike; several service measures deteriorate</t>
  </si>
  <si>
    <t>Low occupancy but facility wait remains high</t>
  </si>
  <si>
    <t>High occupancy with strong service results</t>
  </si>
  <si>
    <t>Housekeeping delay spike</t>
  </si>
  <si>
    <t>Check-in wait anomaly without broad rating collapse</t>
  </si>
  <si>
    <t>Analysis Questions</t>
  </si>
  <si>
    <t>Use these prompts in Excel Copilot or Copilot Chat. Verify each claim against Daily Performance.</t>
  </si>
  <si>
    <t>Stage</t>
  </si>
  <si>
    <t>Prompt</t>
  </si>
  <si>
    <t>Verification</t>
  </si>
  <si>
    <t>Scan</t>
  </si>
  <si>
    <t>Identify the five most important performance signals and up to eight unusual days.</t>
  </si>
  <si>
    <t>Name the date and source metrics.</t>
  </si>
  <si>
    <t>Counterexample</t>
  </si>
  <si>
    <t>Find days that challenge the idea that high occupancy always causes poor service.</t>
  </si>
  <si>
    <t>Include at least one strong high-occupancy day.</t>
  </si>
  <si>
    <t>Revenue balance</t>
  </si>
  <si>
    <t>Explain revenue, cost, and service quality together.</t>
  </si>
  <si>
    <t>Do not show revenue without cost or guest impact.</t>
  </si>
  <si>
    <t>Causation check</t>
  </si>
  <si>
    <t>Which relationships are observed but not proven causes?</t>
  </si>
  <si>
    <t>Use cautious language.</t>
  </si>
  <si>
    <t>Output</t>
  </si>
  <si>
    <t>Draft a one-page general-manager briefing.</t>
  </si>
  <si>
    <t>Every point must cite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</si>
</sst>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\ yyyy"/>
    <numFmt numFmtId="165" formatCode="0.0%"/>
    <numFmt numFmtId="166" formatCode="&quot;$&quot;#,##0.00"/>
    <numFmt numFmtId="167" formatCode="&quot;$&quot;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5EBD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 applyAlignment="1">
      <alignment wrapText="1"/>
    </xf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wrapText="1"/>
    </xf>
    <xf numFmtId="0" fontId="1" fillId="5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2" borderId="0" xfId="0" applyFont="1" applyFill="1" applyAlignment="1"/>
  </cellXfs>
  <cellStyles count="1">
    <cellStyle name="Normal" xfId="0" builtinId="0"/>
  </cellStyles>
  <dxfs count="8">
    <dxf>
      <alignment wrapText="1"/>
    </dxf>
    <dxf>
      <numFmt numFmtId="167" formatCode="&quot;$&quot;#,##0"/>
    </dxf>
    <dxf>
      <numFmt numFmtId="166" formatCode="&quot;$&quot;#,##0.00"/>
    </dxf>
    <dxf>
      <numFmt numFmtId="166" formatCode="&quot;$&quot;#,##0.00"/>
    </dxf>
    <dxf>
      <numFmt numFmtId="165" formatCode="0.0%"/>
    </dxf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BB942-4A8F-4952-8E50-53DC8C6A8823}" name="tblDailyPerformance" displayName="tblDailyPerformance" ref="A4:N94" totalsRowShown="0" headerRowDxfId="6">
  <autoFilter ref="A4:N94" xr:uid="{56FBB942-4A8F-4952-8E50-53DC8C6A8823}"/>
  <tableColumns count="14">
    <tableColumn id="1" xr3:uid="{0BB56A39-F018-4563-B2DF-FC8E02E6F05E}" name="Date" dataDxfId="5"/>
    <tableColumn id="2" xr3:uid="{56C9E94F-3780-4DCA-A2A0-C5CD2FA5BD38}" name="Day"/>
    <tableColumn id="3" xr3:uid="{72DA68CA-1D54-4927-AE89-A552A7786BB8}" name="Occupancy Rate" dataDxfId="4"/>
    <tableColumn id="4" xr3:uid="{23900D57-3797-41BD-8DEA-22F5808C37F0}" name="Rooms Available"/>
    <tableColumn id="5" xr3:uid="{E8B4C1B6-5533-4E7F-B199-55E2BB0C281B}" name="Rooms Sold"/>
    <tableColumn id="6" xr3:uid="{2747392B-8082-487D-995A-6CEEB45110D6}" name="ADR" dataDxfId="3"/>
    <tableColumn id="7" xr3:uid="{A066354F-7F2C-474B-9A2C-FFD2C9C86645}" name="RevPAR" dataDxfId="2">
      <calculatedColumnFormula>E5*F5/D5</calculatedColumnFormula>
    </tableColumn>
    <tableColumn id="8" xr3:uid="{14C1B628-EC65-4896-B2DC-22BEA5BF482A}" name="Guest Rating"/>
    <tableColumn id="9" xr3:uid="{DD1A4410-CF5D-4E24-A705-5AB9433282D1}" name="Complaints"/>
    <tableColumn id="10" xr3:uid="{986CD2CA-8085-4A2F-8D14-9902EF9BB475}" name="Check-in Wait Min"/>
    <tableColumn id="11" xr3:uid="{5D8DA5AC-E485-4ED8-9113-73AD925A7EE1}" name="Facility Wait Avg Min"/>
    <tableColumn id="12" xr3:uid="{BF5C50E5-1C69-47CD-9B56-58516C24D4E2}" name="Housekeeping Delay Min"/>
    <tableColumn id="13" xr3:uid="{DD895A5B-631D-46DA-8166-4DE08CC009A4}" name="Operating Cost" dataDxfId="1"/>
    <tableColumn id="14" xr3:uid="{C136154F-A5F1-43D1-ADB6-A0533764CCAF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997F-D3C1-4F3E-A45D-1C53255E2562}">
  <dimension ref="A1:H10"/>
  <sheetViews>
    <sheetView tabSelected="1" workbookViewId="0"/>
  </sheetViews>
  <sheetFormatPr defaultRowHeight="15"/>
  <cols>
    <col min="1" max="1" width="30.42578125" customWidth="1"/>
    <col min="2" max="2" width="95.28515625" customWidth="1"/>
  </cols>
  <sheetData>
    <row r="1" spans="1:8" ht="30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7.75" customHeight="1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3" t="s">
        <v>2</v>
      </c>
      <c r="B4" s="4" t="s">
        <v>3</v>
      </c>
    </row>
    <row r="5" spans="1:8">
      <c r="A5" s="3" t="s">
        <v>4</v>
      </c>
      <c r="B5" s="4" t="s">
        <v>5</v>
      </c>
    </row>
    <row r="6" spans="1:8">
      <c r="A6" s="3" t="s">
        <v>6</v>
      </c>
      <c r="B6" s="4" t="s">
        <v>7</v>
      </c>
    </row>
    <row r="7" spans="1:8">
      <c r="A7" s="3" t="s">
        <v>8</v>
      </c>
      <c r="B7" s="4" t="s">
        <v>9</v>
      </c>
    </row>
    <row r="8" spans="1:8">
      <c r="A8" s="3" t="s">
        <v>10</v>
      </c>
      <c r="B8" s="4" t="s">
        <v>11</v>
      </c>
    </row>
    <row r="9" spans="1:8">
      <c r="A9" s="3" t="s">
        <v>12</v>
      </c>
      <c r="B9" s="4" t="s">
        <v>13</v>
      </c>
    </row>
    <row r="10" spans="1:8">
      <c r="A10" s="3" t="s">
        <v>14</v>
      </c>
      <c r="B10" s="4" t="s">
        <v>15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7953-FC76-4996-903E-D5BD1F04AFCC}">
  <dimension ref="A1:N94"/>
  <sheetViews>
    <sheetView workbookViewId="0"/>
  </sheetViews>
  <sheetFormatPr defaultRowHeight="15"/>
  <cols>
    <col min="1" max="1" width="12.28515625" bestFit="1" customWidth="1"/>
    <col min="2" max="2" width="6.42578125" bestFit="1" customWidth="1"/>
    <col min="3" max="3" width="17.140625" bestFit="1" customWidth="1"/>
    <col min="4" max="4" width="17.7109375" bestFit="1" customWidth="1"/>
    <col min="5" max="5" width="13.42578125" bestFit="1" customWidth="1"/>
    <col min="6" max="6" width="8.140625" bestFit="1" customWidth="1"/>
    <col min="7" max="7" width="9.7109375" bestFit="1" customWidth="1"/>
    <col min="8" max="8" width="14.28515625" bestFit="1" customWidth="1"/>
    <col min="9" max="9" width="13" bestFit="1" customWidth="1"/>
    <col min="10" max="10" width="19.28515625" bestFit="1" customWidth="1"/>
    <col min="11" max="11" width="21.7109375" bestFit="1" customWidth="1"/>
    <col min="12" max="12" width="25" bestFit="1" customWidth="1"/>
    <col min="13" max="13" width="16.140625" bestFit="1" customWidth="1"/>
    <col min="14" max="14" width="47.5703125" customWidth="1"/>
  </cols>
  <sheetData>
    <row r="1" spans="1:14" ht="30" customHeight="1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7.75" customHeight="1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27.7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</row>
    <row r="5" spans="1:14">
      <c r="A5" s="6">
        <v>46388</v>
      </c>
      <c r="B5" t="s">
        <v>32</v>
      </c>
      <c r="C5" s="7">
        <v>0.63400000000000001</v>
      </c>
      <c r="D5">
        <v>220</v>
      </c>
      <c r="E5">
        <v>139</v>
      </c>
      <c r="F5" s="8">
        <v>155</v>
      </c>
      <c r="G5" s="8">
        <f>E5*F5/D5</f>
        <v>97.931818181818187</v>
      </c>
      <c r="H5">
        <v>4.1000000000000005</v>
      </c>
      <c r="I5">
        <v>1</v>
      </c>
      <c r="J5">
        <v>8</v>
      </c>
      <c r="K5">
        <v>6</v>
      </c>
      <c r="L5">
        <v>5</v>
      </c>
      <c r="M5" s="9">
        <v>53412</v>
      </c>
      <c r="N5" s="4" t="s">
        <v>33</v>
      </c>
    </row>
    <row r="6" spans="1:14">
      <c r="A6" s="6">
        <v>46389</v>
      </c>
      <c r="B6" t="s">
        <v>34</v>
      </c>
      <c r="C6" s="7">
        <v>0.64</v>
      </c>
      <c r="D6">
        <v>220</v>
      </c>
      <c r="E6">
        <v>141</v>
      </c>
      <c r="F6" s="8">
        <v>157</v>
      </c>
      <c r="G6" s="8">
        <f t="shared" ref="G6:G69" si="0">E6*F6/D6</f>
        <v>100.62272727272727</v>
      </c>
      <c r="H6">
        <v>4.45</v>
      </c>
      <c r="I6">
        <v>1</v>
      </c>
      <c r="J6">
        <v>9</v>
      </c>
      <c r="K6">
        <v>7</v>
      </c>
      <c r="L6">
        <v>6</v>
      </c>
      <c r="M6" s="9">
        <v>53520</v>
      </c>
      <c r="N6" s="4" t="s">
        <v>33</v>
      </c>
    </row>
    <row r="7" spans="1:14">
      <c r="A7" s="6">
        <v>46390</v>
      </c>
      <c r="B7" t="s">
        <v>35</v>
      </c>
      <c r="C7" s="7">
        <v>0.64600000000000002</v>
      </c>
      <c r="D7">
        <v>220</v>
      </c>
      <c r="E7">
        <v>142</v>
      </c>
      <c r="F7" s="8">
        <v>159</v>
      </c>
      <c r="G7" s="8">
        <f t="shared" si="0"/>
        <v>102.62727272727273</v>
      </c>
      <c r="H7">
        <v>4.45</v>
      </c>
      <c r="I7">
        <v>1</v>
      </c>
      <c r="J7">
        <v>10</v>
      </c>
      <c r="K7">
        <v>8</v>
      </c>
      <c r="L7">
        <v>7</v>
      </c>
      <c r="M7" s="9">
        <v>53628</v>
      </c>
      <c r="N7" s="4" t="s">
        <v>33</v>
      </c>
    </row>
    <row r="8" spans="1:14">
      <c r="A8" s="6">
        <v>46391</v>
      </c>
      <c r="B8" t="s">
        <v>36</v>
      </c>
      <c r="C8" s="7">
        <v>0.65200000000000002</v>
      </c>
      <c r="D8">
        <v>220</v>
      </c>
      <c r="E8">
        <v>143</v>
      </c>
      <c r="F8" s="8">
        <v>161</v>
      </c>
      <c r="G8" s="8">
        <f t="shared" si="0"/>
        <v>104.65</v>
      </c>
      <c r="H8">
        <v>4.45</v>
      </c>
      <c r="I8">
        <v>1</v>
      </c>
      <c r="J8">
        <v>11</v>
      </c>
      <c r="K8">
        <v>9</v>
      </c>
      <c r="L8">
        <v>8</v>
      </c>
      <c r="M8" s="9">
        <v>53736</v>
      </c>
      <c r="N8" s="4" t="s">
        <v>33</v>
      </c>
    </row>
    <row r="9" spans="1:14">
      <c r="A9" s="6">
        <v>46392</v>
      </c>
      <c r="B9" t="s">
        <v>37</v>
      </c>
      <c r="C9" s="7">
        <v>0.80800000000000005</v>
      </c>
      <c r="D9">
        <v>220</v>
      </c>
      <c r="E9">
        <v>178</v>
      </c>
      <c r="F9" s="8">
        <v>191</v>
      </c>
      <c r="G9" s="8">
        <f t="shared" si="0"/>
        <v>154.53636363636363</v>
      </c>
      <c r="H9">
        <v>4.45</v>
      </c>
      <c r="I9">
        <v>1</v>
      </c>
      <c r="J9">
        <v>20</v>
      </c>
      <c r="K9">
        <v>10</v>
      </c>
      <c r="L9">
        <v>9</v>
      </c>
      <c r="M9" s="9">
        <v>62544</v>
      </c>
      <c r="N9" s="4" t="s">
        <v>33</v>
      </c>
    </row>
    <row r="10" spans="1:14">
      <c r="A10" s="6">
        <v>46393</v>
      </c>
      <c r="B10" t="s">
        <v>38</v>
      </c>
      <c r="C10" s="7">
        <v>0.81400000000000006</v>
      </c>
      <c r="D10">
        <v>220</v>
      </c>
      <c r="E10">
        <v>179</v>
      </c>
      <c r="F10" s="8">
        <v>193</v>
      </c>
      <c r="G10" s="8">
        <f t="shared" si="0"/>
        <v>157.03181818181818</v>
      </c>
      <c r="H10">
        <v>4.45</v>
      </c>
      <c r="I10">
        <v>1</v>
      </c>
      <c r="J10">
        <v>21</v>
      </c>
      <c r="K10">
        <v>6</v>
      </c>
      <c r="L10">
        <v>10</v>
      </c>
      <c r="M10" s="9">
        <v>62652</v>
      </c>
      <c r="N10" s="4" t="s">
        <v>33</v>
      </c>
    </row>
    <row r="11" spans="1:14">
      <c r="A11" s="6">
        <v>46394</v>
      </c>
      <c r="B11" t="s">
        <v>39</v>
      </c>
      <c r="C11" s="7">
        <v>0.82000000000000006</v>
      </c>
      <c r="D11">
        <v>220</v>
      </c>
      <c r="E11">
        <v>180</v>
      </c>
      <c r="F11" s="8">
        <v>195</v>
      </c>
      <c r="G11" s="8">
        <f t="shared" si="0"/>
        <v>159.54545454545453</v>
      </c>
      <c r="H11">
        <v>4.45</v>
      </c>
      <c r="I11">
        <v>1</v>
      </c>
      <c r="J11">
        <v>16</v>
      </c>
      <c r="K11">
        <v>14</v>
      </c>
      <c r="L11">
        <v>11</v>
      </c>
      <c r="M11" s="9">
        <v>62760</v>
      </c>
      <c r="N11" s="4" t="s">
        <v>33</v>
      </c>
    </row>
    <row r="12" spans="1:14">
      <c r="A12" s="6">
        <v>46395</v>
      </c>
      <c r="B12" t="s">
        <v>32</v>
      </c>
      <c r="C12" s="7">
        <v>0.67600000000000005</v>
      </c>
      <c r="D12">
        <v>220</v>
      </c>
      <c r="E12">
        <v>149</v>
      </c>
      <c r="F12" s="8">
        <v>169</v>
      </c>
      <c r="G12" s="8">
        <f t="shared" si="0"/>
        <v>114.4590909090909</v>
      </c>
      <c r="H12">
        <v>4.45</v>
      </c>
      <c r="I12">
        <v>1</v>
      </c>
      <c r="J12">
        <v>9</v>
      </c>
      <c r="K12">
        <v>8</v>
      </c>
      <c r="L12">
        <v>5</v>
      </c>
      <c r="M12" s="9">
        <v>54168</v>
      </c>
      <c r="N12" s="4" t="s">
        <v>33</v>
      </c>
    </row>
    <row r="13" spans="1:14">
      <c r="A13" s="6">
        <v>46396</v>
      </c>
      <c r="B13" t="s">
        <v>34</v>
      </c>
      <c r="C13" s="7">
        <v>0.68200000000000005</v>
      </c>
      <c r="D13">
        <v>220</v>
      </c>
      <c r="E13">
        <v>150</v>
      </c>
      <c r="F13" s="8">
        <v>171</v>
      </c>
      <c r="G13" s="8">
        <f t="shared" si="0"/>
        <v>116.59090909090909</v>
      </c>
      <c r="H13">
        <v>4.45</v>
      </c>
      <c r="I13">
        <v>1</v>
      </c>
      <c r="J13">
        <v>10</v>
      </c>
      <c r="K13">
        <v>9</v>
      </c>
      <c r="L13">
        <v>6</v>
      </c>
      <c r="M13" s="9">
        <v>54276</v>
      </c>
      <c r="N13" s="4" t="s">
        <v>33</v>
      </c>
    </row>
    <row r="14" spans="1:14">
      <c r="A14" s="6">
        <v>46397</v>
      </c>
      <c r="B14" t="s">
        <v>35</v>
      </c>
      <c r="C14" s="7">
        <v>0.68800000000000006</v>
      </c>
      <c r="D14">
        <v>220</v>
      </c>
      <c r="E14">
        <v>151</v>
      </c>
      <c r="F14" s="8">
        <v>155</v>
      </c>
      <c r="G14" s="8">
        <f t="shared" si="0"/>
        <v>106.38636363636364</v>
      </c>
      <c r="H14">
        <v>4.45</v>
      </c>
      <c r="I14">
        <v>1</v>
      </c>
      <c r="J14">
        <v>11</v>
      </c>
      <c r="K14">
        <v>10</v>
      </c>
      <c r="L14">
        <v>7</v>
      </c>
      <c r="M14" s="9">
        <v>54384</v>
      </c>
      <c r="N14" s="4" t="s">
        <v>33</v>
      </c>
    </row>
    <row r="15" spans="1:14">
      <c r="A15" s="6">
        <v>46398</v>
      </c>
      <c r="B15" t="s">
        <v>36</v>
      </c>
      <c r="C15" s="7">
        <v>0.69400000000000006</v>
      </c>
      <c r="D15">
        <v>220</v>
      </c>
      <c r="E15">
        <v>153</v>
      </c>
      <c r="F15" s="8">
        <v>157</v>
      </c>
      <c r="G15" s="8">
        <f t="shared" si="0"/>
        <v>109.18636363636364</v>
      </c>
      <c r="H15">
        <v>4.45</v>
      </c>
      <c r="I15">
        <v>1</v>
      </c>
      <c r="J15">
        <v>12</v>
      </c>
      <c r="K15">
        <v>6</v>
      </c>
      <c r="L15">
        <v>8</v>
      </c>
      <c r="M15" s="9">
        <v>54492</v>
      </c>
      <c r="N15" s="4" t="s">
        <v>33</v>
      </c>
    </row>
    <row r="16" spans="1:14">
      <c r="A16" s="6">
        <v>46399</v>
      </c>
      <c r="B16" t="s">
        <v>37</v>
      </c>
      <c r="C16" s="7">
        <v>0.85000000000000009</v>
      </c>
      <c r="D16">
        <v>220</v>
      </c>
      <c r="E16">
        <v>187</v>
      </c>
      <c r="F16" s="8">
        <v>187</v>
      </c>
      <c r="G16" s="8">
        <f t="shared" si="0"/>
        <v>158.94999999999999</v>
      </c>
      <c r="H16">
        <v>4.2700000000000005</v>
      </c>
      <c r="I16">
        <v>1</v>
      </c>
      <c r="J16">
        <v>21</v>
      </c>
      <c r="K16">
        <v>14</v>
      </c>
      <c r="L16">
        <v>9</v>
      </c>
      <c r="M16" s="9">
        <v>63300</v>
      </c>
      <c r="N16" s="4" t="s">
        <v>33</v>
      </c>
    </row>
    <row r="17" spans="1:14">
      <c r="A17" s="6">
        <v>46400</v>
      </c>
      <c r="B17" t="s">
        <v>38</v>
      </c>
      <c r="C17" s="7">
        <v>0.85600000000000009</v>
      </c>
      <c r="D17">
        <v>220</v>
      </c>
      <c r="E17">
        <v>188</v>
      </c>
      <c r="F17" s="8">
        <v>189</v>
      </c>
      <c r="G17" s="8">
        <f t="shared" si="0"/>
        <v>161.5090909090909</v>
      </c>
      <c r="H17">
        <v>4.2700000000000005</v>
      </c>
      <c r="I17">
        <v>1</v>
      </c>
      <c r="J17">
        <v>16</v>
      </c>
      <c r="K17">
        <v>15</v>
      </c>
      <c r="L17">
        <v>10</v>
      </c>
      <c r="M17" s="9">
        <v>63408</v>
      </c>
      <c r="N17" s="4" t="s">
        <v>33</v>
      </c>
    </row>
    <row r="18" spans="1:14">
      <c r="A18" s="6">
        <v>46401</v>
      </c>
      <c r="B18" t="s">
        <v>39</v>
      </c>
      <c r="C18" s="7">
        <v>0.78400000000000003</v>
      </c>
      <c r="D18">
        <v>220</v>
      </c>
      <c r="E18">
        <v>172</v>
      </c>
      <c r="F18" s="8">
        <v>191</v>
      </c>
      <c r="G18" s="8">
        <f t="shared" si="0"/>
        <v>149.32727272727271</v>
      </c>
      <c r="H18">
        <v>4.45</v>
      </c>
      <c r="I18">
        <v>1</v>
      </c>
      <c r="J18">
        <v>17</v>
      </c>
      <c r="K18">
        <v>9</v>
      </c>
      <c r="L18">
        <v>11</v>
      </c>
      <c r="M18" s="9">
        <v>62112</v>
      </c>
      <c r="N18" s="4" t="s">
        <v>33</v>
      </c>
    </row>
    <row r="19" spans="1:14">
      <c r="A19" s="6">
        <v>46402</v>
      </c>
      <c r="B19" t="s">
        <v>32</v>
      </c>
      <c r="C19" s="7">
        <v>0.64</v>
      </c>
      <c r="D19">
        <v>220</v>
      </c>
      <c r="E19">
        <v>141</v>
      </c>
      <c r="F19" s="8">
        <v>165</v>
      </c>
      <c r="G19" s="8">
        <f t="shared" si="0"/>
        <v>105.75</v>
      </c>
      <c r="H19">
        <v>4.45</v>
      </c>
      <c r="I19">
        <v>1</v>
      </c>
      <c r="J19">
        <v>10</v>
      </c>
      <c r="K19">
        <v>10</v>
      </c>
      <c r="L19">
        <v>5</v>
      </c>
      <c r="M19" s="9">
        <v>53520</v>
      </c>
      <c r="N19" s="4" t="s">
        <v>33</v>
      </c>
    </row>
    <row r="20" spans="1:14">
      <c r="A20" s="6">
        <v>46403</v>
      </c>
      <c r="B20" t="s">
        <v>34</v>
      </c>
      <c r="C20" s="7">
        <v>0.64600000000000002</v>
      </c>
      <c r="D20">
        <v>220</v>
      </c>
      <c r="E20">
        <v>142</v>
      </c>
      <c r="F20" s="8">
        <v>167</v>
      </c>
      <c r="G20" s="8">
        <f t="shared" si="0"/>
        <v>107.7909090909091</v>
      </c>
      <c r="H20">
        <v>4.45</v>
      </c>
      <c r="I20">
        <v>1</v>
      </c>
      <c r="J20">
        <v>11</v>
      </c>
      <c r="K20">
        <v>6</v>
      </c>
      <c r="L20">
        <v>6</v>
      </c>
      <c r="M20" s="9">
        <v>53628</v>
      </c>
      <c r="N20" s="4" t="s">
        <v>33</v>
      </c>
    </row>
    <row r="21" spans="1:14">
      <c r="A21" s="6">
        <v>46404</v>
      </c>
      <c r="B21" t="s">
        <v>35</v>
      </c>
      <c r="C21" s="7">
        <v>0.65200000000000002</v>
      </c>
      <c r="D21">
        <v>220</v>
      </c>
      <c r="E21">
        <v>143</v>
      </c>
      <c r="F21" s="8">
        <v>169</v>
      </c>
      <c r="G21" s="8">
        <f t="shared" si="0"/>
        <v>109.85</v>
      </c>
      <c r="H21">
        <v>4.45</v>
      </c>
      <c r="I21">
        <v>1</v>
      </c>
      <c r="J21">
        <v>12</v>
      </c>
      <c r="K21">
        <v>7</v>
      </c>
      <c r="L21">
        <v>7</v>
      </c>
      <c r="M21" s="9">
        <v>53736</v>
      </c>
      <c r="N21" s="4" t="s">
        <v>33</v>
      </c>
    </row>
    <row r="22" spans="1:14">
      <c r="A22" s="6">
        <v>46405</v>
      </c>
      <c r="B22" t="s">
        <v>36</v>
      </c>
      <c r="C22" s="7">
        <v>0.65800000000000003</v>
      </c>
      <c r="D22">
        <v>220</v>
      </c>
      <c r="E22">
        <v>145</v>
      </c>
      <c r="F22" s="8">
        <v>171</v>
      </c>
      <c r="G22" s="8">
        <f t="shared" si="0"/>
        <v>112.70454545454545</v>
      </c>
      <c r="H22">
        <v>4.1000000000000005</v>
      </c>
      <c r="I22">
        <v>1</v>
      </c>
      <c r="J22">
        <v>13</v>
      </c>
      <c r="K22">
        <v>8</v>
      </c>
      <c r="L22">
        <v>8</v>
      </c>
      <c r="M22" s="9">
        <v>53844</v>
      </c>
      <c r="N22" s="4" t="s">
        <v>33</v>
      </c>
    </row>
    <row r="23" spans="1:14">
      <c r="A23" s="6">
        <v>46406</v>
      </c>
      <c r="B23" t="s">
        <v>37</v>
      </c>
      <c r="C23" s="7">
        <v>0.81400000000000006</v>
      </c>
      <c r="D23">
        <v>220</v>
      </c>
      <c r="E23">
        <v>179</v>
      </c>
      <c r="F23" s="8">
        <v>183</v>
      </c>
      <c r="G23" s="8">
        <f t="shared" si="0"/>
        <v>148.89545454545456</v>
      </c>
      <c r="H23">
        <v>4.45</v>
      </c>
      <c r="I23">
        <v>1</v>
      </c>
      <c r="J23">
        <v>16</v>
      </c>
      <c r="K23">
        <v>9</v>
      </c>
      <c r="L23">
        <v>9</v>
      </c>
      <c r="M23" s="9">
        <v>62652</v>
      </c>
      <c r="N23" s="4" t="s">
        <v>33</v>
      </c>
    </row>
    <row r="24" spans="1:14">
      <c r="A24" s="6">
        <v>46407</v>
      </c>
      <c r="B24" t="s">
        <v>38</v>
      </c>
      <c r="C24" s="7">
        <v>0.82000000000000006</v>
      </c>
      <c r="D24">
        <v>220</v>
      </c>
      <c r="E24">
        <v>180</v>
      </c>
      <c r="F24" s="8">
        <v>185</v>
      </c>
      <c r="G24" s="8">
        <f t="shared" si="0"/>
        <v>151.36363636363637</v>
      </c>
      <c r="H24">
        <v>4.45</v>
      </c>
      <c r="I24">
        <v>1</v>
      </c>
      <c r="J24">
        <v>17</v>
      </c>
      <c r="K24">
        <v>17</v>
      </c>
      <c r="L24">
        <v>10</v>
      </c>
      <c r="M24" s="9">
        <v>62760</v>
      </c>
      <c r="N24" s="4" t="s">
        <v>33</v>
      </c>
    </row>
    <row r="25" spans="1:14">
      <c r="A25" s="6">
        <v>46408</v>
      </c>
      <c r="B25" t="s">
        <v>39</v>
      </c>
      <c r="C25" s="7">
        <v>0.82600000000000007</v>
      </c>
      <c r="D25">
        <v>220</v>
      </c>
      <c r="E25">
        <v>182</v>
      </c>
      <c r="F25" s="8">
        <v>187</v>
      </c>
      <c r="G25" s="8">
        <f t="shared" si="0"/>
        <v>154.69999999999999</v>
      </c>
      <c r="H25">
        <v>4.45</v>
      </c>
      <c r="I25">
        <v>1</v>
      </c>
      <c r="J25">
        <v>18</v>
      </c>
      <c r="K25">
        <v>13</v>
      </c>
      <c r="L25">
        <v>11</v>
      </c>
      <c r="M25" s="9">
        <v>62868</v>
      </c>
      <c r="N25" s="4" t="s">
        <v>33</v>
      </c>
    </row>
    <row r="26" spans="1:14">
      <c r="A26" s="6">
        <v>46409</v>
      </c>
      <c r="B26" t="s">
        <v>32</v>
      </c>
      <c r="C26" s="7">
        <v>0.68200000000000005</v>
      </c>
      <c r="D26">
        <v>220</v>
      </c>
      <c r="E26">
        <v>150</v>
      </c>
      <c r="F26" s="8">
        <v>161</v>
      </c>
      <c r="G26" s="8">
        <f t="shared" si="0"/>
        <v>109.77272727272727</v>
      </c>
      <c r="H26">
        <v>4.45</v>
      </c>
      <c r="I26">
        <v>1</v>
      </c>
      <c r="J26">
        <v>11</v>
      </c>
      <c r="K26">
        <v>7</v>
      </c>
      <c r="L26">
        <v>5</v>
      </c>
      <c r="M26" s="9">
        <v>54276</v>
      </c>
      <c r="N26" s="4" t="s">
        <v>33</v>
      </c>
    </row>
    <row r="27" spans="1:14">
      <c r="A27" s="6">
        <v>46410</v>
      </c>
      <c r="B27" t="s">
        <v>34</v>
      </c>
      <c r="C27" s="7">
        <v>0.91</v>
      </c>
      <c r="D27">
        <v>220</v>
      </c>
      <c r="E27">
        <v>200</v>
      </c>
      <c r="F27" s="8">
        <v>163</v>
      </c>
      <c r="G27" s="8">
        <f t="shared" si="0"/>
        <v>148.18181818181819</v>
      </c>
      <c r="H27">
        <v>3.45</v>
      </c>
      <c r="I27">
        <v>17</v>
      </c>
      <c r="J27">
        <v>54</v>
      </c>
      <c r="K27">
        <v>36</v>
      </c>
      <c r="L27">
        <v>42</v>
      </c>
      <c r="M27" s="9">
        <v>54384</v>
      </c>
      <c r="N27" s="4" t="s">
        <v>40</v>
      </c>
    </row>
    <row r="28" spans="1:14">
      <c r="A28" s="6">
        <v>46411</v>
      </c>
      <c r="B28" t="s">
        <v>35</v>
      </c>
      <c r="C28" s="7">
        <v>0.69400000000000006</v>
      </c>
      <c r="D28">
        <v>220</v>
      </c>
      <c r="E28">
        <v>153</v>
      </c>
      <c r="F28" s="8">
        <v>165</v>
      </c>
      <c r="G28" s="8">
        <f t="shared" si="0"/>
        <v>114.75</v>
      </c>
      <c r="H28">
        <v>4.45</v>
      </c>
      <c r="I28">
        <v>1</v>
      </c>
      <c r="J28">
        <v>13</v>
      </c>
      <c r="K28">
        <v>9</v>
      </c>
      <c r="L28">
        <v>7</v>
      </c>
      <c r="M28" s="9">
        <v>54492</v>
      </c>
      <c r="N28" s="4" t="s">
        <v>33</v>
      </c>
    </row>
    <row r="29" spans="1:14">
      <c r="A29" s="6">
        <v>46412</v>
      </c>
      <c r="B29" t="s">
        <v>36</v>
      </c>
      <c r="C29" s="7">
        <v>0.70000000000000007</v>
      </c>
      <c r="D29">
        <v>220</v>
      </c>
      <c r="E29">
        <v>154</v>
      </c>
      <c r="F29" s="8">
        <v>167</v>
      </c>
      <c r="G29" s="8">
        <f t="shared" si="0"/>
        <v>116.9</v>
      </c>
      <c r="H29">
        <v>4.45</v>
      </c>
      <c r="I29">
        <v>1</v>
      </c>
      <c r="J29">
        <v>8</v>
      </c>
      <c r="K29">
        <v>10</v>
      </c>
      <c r="L29">
        <v>8</v>
      </c>
      <c r="M29" s="9">
        <v>54600</v>
      </c>
      <c r="N29" s="4" t="s">
        <v>33</v>
      </c>
    </row>
    <row r="30" spans="1:14">
      <c r="A30" s="6">
        <v>46413</v>
      </c>
      <c r="B30" t="s">
        <v>37</v>
      </c>
      <c r="C30" s="7">
        <v>0.85600000000000009</v>
      </c>
      <c r="D30">
        <v>220</v>
      </c>
      <c r="E30">
        <v>188</v>
      </c>
      <c r="F30" s="8">
        <v>197</v>
      </c>
      <c r="G30" s="8">
        <f t="shared" si="0"/>
        <v>168.34545454545454</v>
      </c>
      <c r="H30">
        <v>4.2700000000000005</v>
      </c>
      <c r="I30">
        <v>1</v>
      </c>
      <c r="J30">
        <v>17</v>
      </c>
      <c r="K30">
        <v>13</v>
      </c>
      <c r="L30">
        <v>9</v>
      </c>
      <c r="M30" s="9">
        <v>63408</v>
      </c>
      <c r="N30" s="4" t="s">
        <v>33</v>
      </c>
    </row>
    <row r="31" spans="1:14">
      <c r="A31" s="6">
        <v>46414</v>
      </c>
      <c r="B31" t="s">
        <v>38</v>
      </c>
      <c r="C31" s="7">
        <v>0.78400000000000003</v>
      </c>
      <c r="D31">
        <v>220</v>
      </c>
      <c r="E31">
        <v>172</v>
      </c>
      <c r="F31" s="8">
        <v>199</v>
      </c>
      <c r="G31" s="8">
        <f t="shared" si="0"/>
        <v>155.58181818181819</v>
      </c>
      <c r="H31">
        <v>4.45</v>
      </c>
      <c r="I31">
        <v>1</v>
      </c>
      <c r="J31">
        <v>18</v>
      </c>
      <c r="K31">
        <v>7</v>
      </c>
      <c r="L31">
        <v>10</v>
      </c>
      <c r="M31" s="9">
        <v>62112</v>
      </c>
      <c r="N31" s="4" t="s">
        <v>33</v>
      </c>
    </row>
    <row r="32" spans="1:14">
      <c r="A32" s="6">
        <v>46415</v>
      </c>
      <c r="B32" t="s">
        <v>39</v>
      </c>
      <c r="C32" s="7">
        <v>0.79</v>
      </c>
      <c r="D32">
        <v>220</v>
      </c>
      <c r="E32">
        <v>174</v>
      </c>
      <c r="F32" s="8">
        <v>183</v>
      </c>
      <c r="G32" s="8">
        <f t="shared" si="0"/>
        <v>144.73636363636365</v>
      </c>
      <c r="H32">
        <v>4.45</v>
      </c>
      <c r="I32">
        <v>1</v>
      </c>
      <c r="J32">
        <v>19</v>
      </c>
      <c r="K32">
        <v>8</v>
      </c>
      <c r="L32">
        <v>11</v>
      </c>
      <c r="M32" s="9">
        <v>62220</v>
      </c>
      <c r="N32" s="4" t="s">
        <v>33</v>
      </c>
    </row>
    <row r="33" spans="1:14">
      <c r="A33" s="6">
        <v>46416</v>
      </c>
      <c r="B33" t="s">
        <v>32</v>
      </c>
      <c r="C33" s="7">
        <v>0.64600000000000002</v>
      </c>
      <c r="D33">
        <v>220</v>
      </c>
      <c r="E33">
        <v>142</v>
      </c>
      <c r="F33" s="8">
        <v>157</v>
      </c>
      <c r="G33" s="8">
        <f t="shared" si="0"/>
        <v>101.33636363636364</v>
      </c>
      <c r="H33">
        <v>4.45</v>
      </c>
      <c r="I33">
        <v>1</v>
      </c>
      <c r="J33">
        <v>12</v>
      </c>
      <c r="K33">
        <v>9</v>
      </c>
      <c r="L33">
        <v>5</v>
      </c>
      <c r="M33" s="9">
        <v>53628</v>
      </c>
      <c r="N33" s="4" t="s">
        <v>33</v>
      </c>
    </row>
    <row r="34" spans="1:14">
      <c r="A34" s="6">
        <v>46417</v>
      </c>
      <c r="B34" t="s">
        <v>34</v>
      </c>
      <c r="C34" s="7">
        <v>0.65200000000000002</v>
      </c>
      <c r="D34">
        <v>220</v>
      </c>
      <c r="E34">
        <v>143</v>
      </c>
      <c r="F34" s="8">
        <v>159</v>
      </c>
      <c r="G34" s="8">
        <f t="shared" si="0"/>
        <v>103.35</v>
      </c>
      <c r="H34">
        <v>4.45</v>
      </c>
      <c r="I34">
        <v>1</v>
      </c>
      <c r="J34">
        <v>13</v>
      </c>
      <c r="K34">
        <v>10</v>
      </c>
      <c r="L34">
        <v>6</v>
      </c>
      <c r="M34" s="9">
        <v>53736</v>
      </c>
      <c r="N34" s="4" t="s">
        <v>33</v>
      </c>
    </row>
    <row r="35" spans="1:14">
      <c r="A35" s="6">
        <v>46418</v>
      </c>
      <c r="B35" t="s">
        <v>35</v>
      </c>
      <c r="C35" s="7">
        <v>0.65800000000000003</v>
      </c>
      <c r="D35">
        <v>220</v>
      </c>
      <c r="E35">
        <v>145</v>
      </c>
      <c r="F35" s="8">
        <v>161</v>
      </c>
      <c r="G35" s="8">
        <f t="shared" si="0"/>
        <v>106.11363636363636</v>
      </c>
      <c r="H35">
        <v>4.45</v>
      </c>
      <c r="I35">
        <v>1</v>
      </c>
      <c r="J35">
        <v>8</v>
      </c>
      <c r="K35">
        <v>6</v>
      </c>
      <c r="L35">
        <v>7</v>
      </c>
      <c r="M35" s="9">
        <v>53844</v>
      </c>
      <c r="N35" s="4" t="s">
        <v>33</v>
      </c>
    </row>
    <row r="36" spans="1:14">
      <c r="A36" s="6">
        <v>46419</v>
      </c>
      <c r="B36" t="s">
        <v>36</v>
      </c>
      <c r="C36" s="7">
        <v>0.66400000000000003</v>
      </c>
      <c r="D36">
        <v>220</v>
      </c>
      <c r="E36">
        <v>146</v>
      </c>
      <c r="F36" s="8">
        <v>163</v>
      </c>
      <c r="G36" s="8">
        <f t="shared" si="0"/>
        <v>108.17272727272727</v>
      </c>
      <c r="H36">
        <v>4.45</v>
      </c>
      <c r="I36">
        <v>1</v>
      </c>
      <c r="J36">
        <v>9</v>
      </c>
      <c r="K36">
        <v>7</v>
      </c>
      <c r="L36">
        <v>8</v>
      </c>
      <c r="M36" s="9">
        <v>53952</v>
      </c>
      <c r="N36" s="4" t="s">
        <v>33</v>
      </c>
    </row>
    <row r="37" spans="1:14">
      <c r="A37" s="6">
        <v>46420</v>
      </c>
      <c r="B37" t="s">
        <v>37</v>
      </c>
      <c r="C37" s="7">
        <v>0.82000000000000006</v>
      </c>
      <c r="D37">
        <v>220</v>
      </c>
      <c r="E37">
        <v>180</v>
      </c>
      <c r="F37" s="8">
        <v>193</v>
      </c>
      <c r="G37" s="8">
        <f t="shared" si="0"/>
        <v>157.90909090909091</v>
      </c>
      <c r="H37">
        <v>4.45</v>
      </c>
      <c r="I37">
        <v>1</v>
      </c>
      <c r="J37">
        <v>18</v>
      </c>
      <c r="K37">
        <v>15</v>
      </c>
      <c r="L37">
        <v>9</v>
      </c>
      <c r="M37" s="9">
        <v>62760</v>
      </c>
      <c r="N37" s="4" t="s">
        <v>33</v>
      </c>
    </row>
    <row r="38" spans="1:14">
      <c r="A38" s="6">
        <v>46421</v>
      </c>
      <c r="B38" t="s">
        <v>38</v>
      </c>
      <c r="C38" s="7">
        <v>0.82600000000000007</v>
      </c>
      <c r="D38">
        <v>220</v>
      </c>
      <c r="E38">
        <v>182</v>
      </c>
      <c r="F38" s="8">
        <v>195</v>
      </c>
      <c r="G38" s="8">
        <f t="shared" si="0"/>
        <v>161.31818181818181</v>
      </c>
      <c r="H38">
        <v>4.45</v>
      </c>
      <c r="I38">
        <v>1</v>
      </c>
      <c r="J38">
        <v>19</v>
      </c>
      <c r="K38">
        <v>16</v>
      </c>
      <c r="L38">
        <v>10</v>
      </c>
      <c r="M38" s="9">
        <v>62868</v>
      </c>
      <c r="N38" s="4" t="s">
        <v>33</v>
      </c>
    </row>
    <row r="39" spans="1:14">
      <c r="A39" s="6">
        <v>46422</v>
      </c>
      <c r="B39" t="s">
        <v>39</v>
      </c>
      <c r="C39" s="7">
        <v>0.83200000000000007</v>
      </c>
      <c r="D39">
        <v>220</v>
      </c>
      <c r="E39">
        <v>183</v>
      </c>
      <c r="F39" s="8">
        <v>197</v>
      </c>
      <c r="G39" s="8">
        <f t="shared" si="0"/>
        <v>163.86818181818182</v>
      </c>
      <c r="H39">
        <v>4.1000000000000005</v>
      </c>
      <c r="I39">
        <v>1</v>
      </c>
      <c r="J39">
        <v>20</v>
      </c>
      <c r="K39">
        <v>17</v>
      </c>
      <c r="L39">
        <v>11</v>
      </c>
      <c r="M39" s="9">
        <v>62976</v>
      </c>
      <c r="N39" s="4" t="s">
        <v>33</v>
      </c>
    </row>
    <row r="40" spans="1:14">
      <c r="A40" s="6">
        <v>46423</v>
      </c>
      <c r="B40" t="s">
        <v>32</v>
      </c>
      <c r="C40" s="7">
        <v>0.68800000000000006</v>
      </c>
      <c r="D40">
        <v>220</v>
      </c>
      <c r="E40">
        <v>151</v>
      </c>
      <c r="F40" s="8">
        <v>171</v>
      </c>
      <c r="G40" s="8">
        <f t="shared" si="0"/>
        <v>117.36818181818182</v>
      </c>
      <c r="H40">
        <v>4.45</v>
      </c>
      <c r="I40">
        <v>1</v>
      </c>
      <c r="J40">
        <v>13</v>
      </c>
      <c r="K40">
        <v>6</v>
      </c>
      <c r="L40">
        <v>5</v>
      </c>
      <c r="M40" s="9">
        <v>54384</v>
      </c>
      <c r="N40" s="4" t="s">
        <v>33</v>
      </c>
    </row>
    <row r="41" spans="1:14">
      <c r="A41" s="6">
        <v>46424</v>
      </c>
      <c r="B41" t="s">
        <v>34</v>
      </c>
      <c r="C41" s="7">
        <v>0.69400000000000006</v>
      </c>
      <c r="D41">
        <v>220</v>
      </c>
      <c r="E41">
        <v>153</v>
      </c>
      <c r="F41" s="8">
        <v>155</v>
      </c>
      <c r="G41" s="8">
        <f t="shared" si="0"/>
        <v>107.79545454545455</v>
      </c>
      <c r="H41">
        <v>4.45</v>
      </c>
      <c r="I41">
        <v>1</v>
      </c>
      <c r="J41">
        <v>8</v>
      </c>
      <c r="K41">
        <v>7</v>
      </c>
      <c r="L41">
        <v>6</v>
      </c>
      <c r="M41" s="9">
        <v>54492</v>
      </c>
      <c r="N41" s="4" t="s">
        <v>33</v>
      </c>
    </row>
    <row r="42" spans="1:14">
      <c r="A42" s="6">
        <v>46425</v>
      </c>
      <c r="B42" t="s">
        <v>35</v>
      </c>
      <c r="C42" s="7">
        <v>0.70000000000000007</v>
      </c>
      <c r="D42">
        <v>220</v>
      </c>
      <c r="E42">
        <v>154</v>
      </c>
      <c r="F42" s="8">
        <v>157</v>
      </c>
      <c r="G42" s="8">
        <f t="shared" si="0"/>
        <v>109.9</v>
      </c>
      <c r="H42">
        <v>4.45</v>
      </c>
      <c r="I42">
        <v>1</v>
      </c>
      <c r="J42">
        <v>9</v>
      </c>
      <c r="K42">
        <v>8</v>
      </c>
      <c r="L42">
        <v>7</v>
      </c>
      <c r="M42" s="9">
        <v>54600</v>
      </c>
      <c r="N42" s="4" t="s">
        <v>33</v>
      </c>
    </row>
    <row r="43" spans="1:14">
      <c r="A43" s="6">
        <v>46426</v>
      </c>
      <c r="B43" t="s">
        <v>36</v>
      </c>
      <c r="C43" s="7">
        <v>0.70600000000000007</v>
      </c>
      <c r="D43">
        <v>220</v>
      </c>
      <c r="E43">
        <v>155</v>
      </c>
      <c r="F43" s="8">
        <v>159</v>
      </c>
      <c r="G43" s="8">
        <f t="shared" si="0"/>
        <v>112.02272727272727</v>
      </c>
      <c r="H43">
        <v>4.45</v>
      </c>
      <c r="I43">
        <v>1</v>
      </c>
      <c r="J43">
        <v>10</v>
      </c>
      <c r="K43">
        <v>9</v>
      </c>
      <c r="L43">
        <v>8</v>
      </c>
      <c r="M43" s="9">
        <v>54708</v>
      </c>
      <c r="N43" s="4" t="s">
        <v>33</v>
      </c>
    </row>
    <row r="44" spans="1:14">
      <c r="A44" s="6">
        <v>46427</v>
      </c>
      <c r="B44" t="s">
        <v>37</v>
      </c>
      <c r="C44" s="7">
        <v>0.78400000000000003</v>
      </c>
      <c r="D44">
        <v>220</v>
      </c>
      <c r="E44">
        <v>172</v>
      </c>
      <c r="F44" s="8">
        <v>189</v>
      </c>
      <c r="G44" s="8">
        <f t="shared" si="0"/>
        <v>147.76363636363635</v>
      </c>
      <c r="H44">
        <v>4.45</v>
      </c>
      <c r="I44">
        <v>1</v>
      </c>
      <c r="J44">
        <v>19</v>
      </c>
      <c r="K44">
        <v>10</v>
      </c>
      <c r="L44">
        <v>9</v>
      </c>
      <c r="M44" s="9">
        <v>62112</v>
      </c>
      <c r="N44" s="4" t="s">
        <v>33</v>
      </c>
    </row>
    <row r="45" spans="1:14">
      <c r="A45" s="6">
        <v>46428</v>
      </c>
      <c r="B45" t="s">
        <v>38</v>
      </c>
      <c r="C45" s="7">
        <v>0.79</v>
      </c>
      <c r="D45">
        <v>220</v>
      </c>
      <c r="E45">
        <v>174</v>
      </c>
      <c r="F45" s="8">
        <v>191</v>
      </c>
      <c r="G45" s="8">
        <f t="shared" si="0"/>
        <v>151.06363636363636</v>
      </c>
      <c r="H45">
        <v>4.45</v>
      </c>
      <c r="I45">
        <v>1</v>
      </c>
      <c r="J45">
        <v>20</v>
      </c>
      <c r="K45">
        <v>6</v>
      </c>
      <c r="L45">
        <v>10</v>
      </c>
      <c r="M45" s="9">
        <v>62220</v>
      </c>
      <c r="N45" s="4" t="s">
        <v>33</v>
      </c>
    </row>
    <row r="46" spans="1:14">
      <c r="A46" s="6">
        <v>46429</v>
      </c>
      <c r="B46" t="s">
        <v>39</v>
      </c>
      <c r="C46" s="7">
        <v>0.57999999999999996</v>
      </c>
      <c r="D46">
        <v>220</v>
      </c>
      <c r="E46">
        <v>128</v>
      </c>
      <c r="F46" s="8">
        <v>193</v>
      </c>
      <c r="G46" s="8">
        <f t="shared" si="0"/>
        <v>112.2909090909091</v>
      </c>
      <c r="H46">
        <v>3.7</v>
      </c>
      <c r="I46">
        <v>11</v>
      </c>
      <c r="J46">
        <v>12</v>
      </c>
      <c r="K46">
        <v>31</v>
      </c>
      <c r="L46">
        <v>8</v>
      </c>
      <c r="M46" s="9">
        <v>62328</v>
      </c>
      <c r="N46" s="4" t="s">
        <v>41</v>
      </c>
    </row>
    <row r="47" spans="1:14">
      <c r="A47" s="6">
        <v>46430</v>
      </c>
      <c r="B47" t="s">
        <v>32</v>
      </c>
      <c r="C47" s="7">
        <v>0.65200000000000002</v>
      </c>
      <c r="D47">
        <v>220</v>
      </c>
      <c r="E47">
        <v>143</v>
      </c>
      <c r="F47" s="8">
        <v>167</v>
      </c>
      <c r="G47" s="8">
        <f t="shared" si="0"/>
        <v>108.55</v>
      </c>
      <c r="H47">
        <v>4.45</v>
      </c>
      <c r="I47">
        <v>1</v>
      </c>
      <c r="J47">
        <v>8</v>
      </c>
      <c r="K47">
        <v>8</v>
      </c>
      <c r="L47">
        <v>5</v>
      </c>
      <c r="M47" s="9">
        <v>53736</v>
      </c>
      <c r="N47" s="4" t="s">
        <v>33</v>
      </c>
    </row>
    <row r="48" spans="1:14">
      <c r="A48" s="6">
        <v>46431</v>
      </c>
      <c r="B48" t="s">
        <v>34</v>
      </c>
      <c r="C48" s="7">
        <v>0.65800000000000003</v>
      </c>
      <c r="D48">
        <v>220</v>
      </c>
      <c r="E48">
        <v>145</v>
      </c>
      <c r="F48" s="8">
        <v>169</v>
      </c>
      <c r="G48" s="8">
        <f t="shared" si="0"/>
        <v>111.38636363636364</v>
      </c>
      <c r="H48">
        <v>4.45</v>
      </c>
      <c r="I48">
        <v>1</v>
      </c>
      <c r="J48">
        <v>9</v>
      </c>
      <c r="K48">
        <v>9</v>
      </c>
      <c r="L48">
        <v>6</v>
      </c>
      <c r="M48" s="9">
        <v>53844</v>
      </c>
      <c r="N48" s="4" t="s">
        <v>33</v>
      </c>
    </row>
    <row r="49" spans="1:14">
      <c r="A49" s="6">
        <v>46432</v>
      </c>
      <c r="B49" t="s">
        <v>35</v>
      </c>
      <c r="C49" s="7">
        <v>0.66400000000000003</v>
      </c>
      <c r="D49">
        <v>220</v>
      </c>
      <c r="E49">
        <v>146</v>
      </c>
      <c r="F49" s="8">
        <v>171</v>
      </c>
      <c r="G49" s="8">
        <f t="shared" si="0"/>
        <v>113.48181818181818</v>
      </c>
      <c r="H49">
        <v>4.45</v>
      </c>
      <c r="I49">
        <v>1</v>
      </c>
      <c r="J49">
        <v>10</v>
      </c>
      <c r="K49">
        <v>10</v>
      </c>
      <c r="L49">
        <v>7</v>
      </c>
      <c r="M49" s="9">
        <v>53952</v>
      </c>
      <c r="N49" s="4" t="s">
        <v>33</v>
      </c>
    </row>
    <row r="50" spans="1:14">
      <c r="A50" s="6">
        <v>46433</v>
      </c>
      <c r="B50" t="s">
        <v>36</v>
      </c>
      <c r="C50" s="7">
        <v>0.67</v>
      </c>
      <c r="D50">
        <v>220</v>
      </c>
      <c r="E50">
        <v>147</v>
      </c>
      <c r="F50" s="8">
        <v>155</v>
      </c>
      <c r="G50" s="8">
        <f t="shared" si="0"/>
        <v>103.56818181818181</v>
      </c>
      <c r="H50">
        <v>4.45</v>
      </c>
      <c r="I50">
        <v>1</v>
      </c>
      <c r="J50">
        <v>11</v>
      </c>
      <c r="K50">
        <v>6</v>
      </c>
      <c r="L50">
        <v>8</v>
      </c>
      <c r="M50" s="9">
        <v>54060</v>
      </c>
      <c r="N50" s="4" t="s">
        <v>33</v>
      </c>
    </row>
    <row r="51" spans="1:14">
      <c r="A51" s="6">
        <v>46434</v>
      </c>
      <c r="B51" t="s">
        <v>37</v>
      </c>
      <c r="C51" s="7">
        <v>0.82600000000000007</v>
      </c>
      <c r="D51">
        <v>220</v>
      </c>
      <c r="E51">
        <v>182</v>
      </c>
      <c r="F51" s="8">
        <v>185</v>
      </c>
      <c r="G51" s="8">
        <f t="shared" si="0"/>
        <v>153.04545454545453</v>
      </c>
      <c r="H51">
        <v>4.45</v>
      </c>
      <c r="I51">
        <v>1</v>
      </c>
      <c r="J51">
        <v>20</v>
      </c>
      <c r="K51">
        <v>14</v>
      </c>
      <c r="L51">
        <v>9</v>
      </c>
      <c r="M51" s="9">
        <v>62868</v>
      </c>
      <c r="N51" s="4" t="s">
        <v>33</v>
      </c>
    </row>
    <row r="52" spans="1:14">
      <c r="A52" s="6">
        <v>46435</v>
      </c>
      <c r="B52" t="s">
        <v>38</v>
      </c>
      <c r="C52" s="7">
        <v>0.83200000000000007</v>
      </c>
      <c r="D52">
        <v>220</v>
      </c>
      <c r="E52">
        <v>183</v>
      </c>
      <c r="F52" s="8">
        <v>187</v>
      </c>
      <c r="G52" s="8">
        <f t="shared" si="0"/>
        <v>155.55000000000001</v>
      </c>
      <c r="H52">
        <v>4.45</v>
      </c>
      <c r="I52">
        <v>1</v>
      </c>
      <c r="J52">
        <v>21</v>
      </c>
      <c r="K52">
        <v>15</v>
      </c>
      <c r="L52">
        <v>10</v>
      </c>
      <c r="M52" s="9">
        <v>62976</v>
      </c>
      <c r="N52" s="4" t="s">
        <v>33</v>
      </c>
    </row>
    <row r="53" spans="1:14">
      <c r="A53" s="6">
        <v>46436</v>
      </c>
      <c r="B53" t="s">
        <v>39</v>
      </c>
      <c r="C53" s="7">
        <v>0.83800000000000008</v>
      </c>
      <c r="D53">
        <v>220</v>
      </c>
      <c r="E53">
        <v>184</v>
      </c>
      <c r="F53" s="8">
        <v>189</v>
      </c>
      <c r="G53" s="8">
        <f t="shared" si="0"/>
        <v>158.07272727272726</v>
      </c>
      <c r="H53">
        <v>4.45</v>
      </c>
      <c r="I53">
        <v>1</v>
      </c>
      <c r="J53">
        <v>16</v>
      </c>
      <c r="K53">
        <v>16</v>
      </c>
      <c r="L53">
        <v>11</v>
      </c>
      <c r="M53" s="9">
        <v>63084</v>
      </c>
      <c r="N53" s="4" t="s">
        <v>33</v>
      </c>
    </row>
    <row r="54" spans="1:14">
      <c r="A54" s="6">
        <v>46437</v>
      </c>
      <c r="B54" t="s">
        <v>32</v>
      </c>
      <c r="C54" s="7">
        <v>0.69400000000000006</v>
      </c>
      <c r="D54">
        <v>220</v>
      </c>
      <c r="E54">
        <v>153</v>
      </c>
      <c r="F54" s="8">
        <v>163</v>
      </c>
      <c r="G54" s="8">
        <f t="shared" si="0"/>
        <v>113.35909090909091</v>
      </c>
      <c r="H54">
        <v>4.45</v>
      </c>
      <c r="I54">
        <v>1</v>
      </c>
      <c r="J54">
        <v>9</v>
      </c>
      <c r="K54">
        <v>10</v>
      </c>
      <c r="L54">
        <v>5</v>
      </c>
      <c r="M54" s="9">
        <v>54492</v>
      </c>
      <c r="N54" s="4" t="s">
        <v>33</v>
      </c>
    </row>
    <row r="55" spans="1:14">
      <c r="A55" s="6">
        <v>46438</v>
      </c>
      <c r="B55" t="s">
        <v>34</v>
      </c>
      <c r="C55" s="7">
        <v>0.70000000000000007</v>
      </c>
      <c r="D55">
        <v>220</v>
      </c>
      <c r="E55">
        <v>154</v>
      </c>
      <c r="F55" s="8">
        <v>165</v>
      </c>
      <c r="G55" s="8">
        <f t="shared" si="0"/>
        <v>115.5</v>
      </c>
      <c r="H55">
        <v>4.45</v>
      </c>
      <c r="I55">
        <v>1</v>
      </c>
      <c r="J55">
        <v>10</v>
      </c>
      <c r="K55">
        <v>6</v>
      </c>
      <c r="L55">
        <v>6</v>
      </c>
      <c r="M55" s="9">
        <v>54600</v>
      </c>
      <c r="N55" s="4" t="s">
        <v>33</v>
      </c>
    </row>
    <row r="56" spans="1:14">
      <c r="A56" s="6">
        <v>46439</v>
      </c>
      <c r="B56" t="s">
        <v>35</v>
      </c>
      <c r="C56" s="7">
        <v>0.70600000000000007</v>
      </c>
      <c r="D56">
        <v>220</v>
      </c>
      <c r="E56">
        <v>155</v>
      </c>
      <c r="F56" s="8">
        <v>167</v>
      </c>
      <c r="G56" s="8">
        <f t="shared" si="0"/>
        <v>117.65909090909091</v>
      </c>
      <c r="H56">
        <v>4.1000000000000005</v>
      </c>
      <c r="I56">
        <v>1</v>
      </c>
      <c r="J56">
        <v>11</v>
      </c>
      <c r="K56">
        <v>7</v>
      </c>
      <c r="L56">
        <v>7</v>
      </c>
      <c r="M56" s="9">
        <v>54708</v>
      </c>
      <c r="N56" s="4" t="s">
        <v>33</v>
      </c>
    </row>
    <row r="57" spans="1:14">
      <c r="A57" s="6">
        <v>46440</v>
      </c>
      <c r="B57" t="s">
        <v>36</v>
      </c>
      <c r="C57" s="7">
        <v>0.63400000000000001</v>
      </c>
      <c r="D57">
        <v>220</v>
      </c>
      <c r="E57">
        <v>139</v>
      </c>
      <c r="F57" s="8">
        <v>169</v>
      </c>
      <c r="G57" s="8">
        <f t="shared" si="0"/>
        <v>106.77727272727273</v>
      </c>
      <c r="H57">
        <v>4.45</v>
      </c>
      <c r="I57">
        <v>1</v>
      </c>
      <c r="J57">
        <v>12</v>
      </c>
      <c r="K57">
        <v>8</v>
      </c>
      <c r="L57">
        <v>8</v>
      </c>
      <c r="M57" s="9">
        <v>53412</v>
      </c>
      <c r="N57" s="4" t="s">
        <v>33</v>
      </c>
    </row>
    <row r="58" spans="1:14">
      <c r="A58" s="6">
        <v>46441</v>
      </c>
      <c r="B58" t="s">
        <v>37</v>
      </c>
      <c r="C58" s="7">
        <v>0.79</v>
      </c>
      <c r="D58">
        <v>220</v>
      </c>
      <c r="E58">
        <v>174</v>
      </c>
      <c r="F58" s="8">
        <v>199</v>
      </c>
      <c r="G58" s="8">
        <f t="shared" si="0"/>
        <v>157.3909090909091</v>
      </c>
      <c r="H58">
        <v>4.45</v>
      </c>
      <c r="I58">
        <v>1</v>
      </c>
      <c r="J58">
        <v>21</v>
      </c>
      <c r="K58">
        <v>9</v>
      </c>
      <c r="L58">
        <v>9</v>
      </c>
      <c r="M58" s="9">
        <v>62220</v>
      </c>
      <c r="N58" s="4" t="s">
        <v>33</v>
      </c>
    </row>
    <row r="59" spans="1:14">
      <c r="A59" s="6">
        <v>46442</v>
      </c>
      <c r="B59" t="s">
        <v>38</v>
      </c>
      <c r="C59" s="7">
        <v>0.79600000000000004</v>
      </c>
      <c r="D59">
        <v>220</v>
      </c>
      <c r="E59">
        <v>175</v>
      </c>
      <c r="F59" s="8">
        <v>183</v>
      </c>
      <c r="G59" s="8">
        <f t="shared" si="0"/>
        <v>145.56818181818181</v>
      </c>
      <c r="H59">
        <v>4.45</v>
      </c>
      <c r="I59">
        <v>1</v>
      </c>
      <c r="J59">
        <v>16</v>
      </c>
      <c r="K59">
        <v>10</v>
      </c>
      <c r="L59">
        <v>10</v>
      </c>
      <c r="M59" s="9">
        <v>62328</v>
      </c>
      <c r="N59" s="4" t="s">
        <v>33</v>
      </c>
    </row>
    <row r="60" spans="1:14">
      <c r="A60" s="6">
        <v>46443</v>
      </c>
      <c r="B60" t="s">
        <v>39</v>
      </c>
      <c r="C60" s="7">
        <v>0.80200000000000005</v>
      </c>
      <c r="D60">
        <v>220</v>
      </c>
      <c r="E60">
        <v>176</v>
      </c>
      <c r="F60" s="8">
        <v>185</v>
      </c>
      <c r="G60" s="8">
        <f t="shared" si="0"/>
        <v>148</v>
      </c>
      <c r="H60">
        <v>4.45</v>
      </c>
      <c r="I60">
        <v>1</v>
      </c>
      <c r="J60">
        <v>17</v>
      </c>
      <c r="K60">
        <v>6</v>
      </c>
      <c r="L60">
        <v>11</v>
      </c>
      <c r="M60" s="9">
        <v>62436</v>
      </c>
      <c r="N60" s="4" t="s">
        <v>33</v>
      </c>
    </row>
    <row r="61" spans="1:14">
      <c r="A61" s="6">
        <v>46444</v>
      </c>
      <c r="B61" t="s">
        <v>32</v>
      </c>
      <c r="C61" s="7">
        <v>0.65800000000000003</v>
      </c>
      <c r="D61">
        <v>220</v>
      </c>
      <c r="E61">
        <v>145</v>
      </c>
      <c r="F61" s="8">
        <v>159</v>
      </c>
      <c r="G61" s="8">
        <f t="shared" si="0"/>
        <v>104.79545454545455</v>
      </c>
      <c r="H61">
        <v>4.45</v>
      </c>
      <c r="I61">
        <v>1</v>
      </c>
      <c r="J61">
        <v>10</v>
      </c>
      <c r="K61">
        <v>7</v>
      </c>
      <c r="L61">
        <v>5</v>
      </c>
      <c r="M61" s="9">
        <v>53844</v>
      </c>
      <c r="N61" s="4" t="s">
        <v>33</v>
      </c>
    </row>
    <row r="62" spans="1:14">
      <c r="A62" s="6">
        <v>46445</v>
      </c>
      <c r="B62" t="s">
        <v>34</v>
      </c>
      <c r="C62" s="7">
        <v>0.94</v>
      </c>
      <c r="D62">
        <v>220</v>
      </c>
      <c r="E62">
        <v>207</v>
      </c>
      <c r="F62" s="8">
        <v>161</v>
      </c>
      <c r="G62" s="8">
        <f t="shared" si="0"/>
        <v>151.48636363636365</v>
      </c>
      <c r="H62">
        <v>4.62</v>
      </c>
      <c r="I62">
        <v>2</v>
      </c>
      <c r="J62">
        <v>10</v>
      </c>
      <c r="K62">
        <v>8</v>
      </c>
      <c r="L62">
        <v>7</v>
      </c>
      <c r="M62" s="9">
        <v>53952</v>
      </c>
      <c r="N62" s="4" t="s">
        <v>42</v>
      </c>
    </row>
    <row r="63" spans="1:14">
      <c r="A63" s="6">
        <v>46446</v>
      </c>
      <c r="B63" t="s">
        <v>35</v>
      </c>
      <c r="C63" s="7">
        <v>0.67</v>
      </c>
      <c r="D63">
        <v>220</v>
      </c>
      <c r="E63">
        <v>147</v>
      </c>
      <c r="F63" s="8">
        <v>163</v>
      </c>
      <c r="G63" s="8">
        <f t="shared" si="0"/>
        <v>108.91363636363636</v>
      </c>
      <c r="H63">
        <v>4.45</v>
      </c>
      <c r="I63">
        <v>1</v>
      </c>
      <c r="J63">
        <v>12</v>
      </c>
      <c r="K63">
        <v>9</v>
      </c>
      <c r="L63">
        <v>7</v>
      </c>
      <c r="M63" s="9">
        <v>54060</v>
      </c>
      <c r="N63" s="4" t="s">
        <v>33</v>
      </c>
    </row>
    <row r="64" spans="1:14">
      <c r="A64" s="6">
        <v>46447</v>
      </c>
      <c r="B64" t="s">
        <v>36</v>
      </c>
      <c r="C64" s="7">
        <v>0.67600000000000005</v>
      </c>
      <c r="D64">
        <v>220</v>
      </c>
      <c r="E64">
        <v>149</v>
      </c>
      <c r="F64" s="8">
        <v>165</v>
      </c>
      <c r="G64" s="8">
        <f t="shared" si="0"/>
        <v>111.75</v>
      </c>
      <c r="H64">
        <v>4.45</v>
      </c>
      <c r="I64">
        <v>1</v>
      </c>
      <c r="J64">
        <v>13</v>
      </c>
      <c r="K64">
        <v>10</v>
      </c>
      <c r="L64">
        <v>8</v>
      </c>
      <c r="M64" s="9">
        <v>54168</v>
      </c>
      <c r="N64" s="4" t="s">
        <v>33</v>
      </c>
    </row>
    <row r="65" spans="1:14">
      <c r="A65" s="6">
        <v>46448</v>
      </c>
      <c r="B65" t="s">
        <v>37</v>
      </c>
      <c r="C65" s="7">
        <v>0.83200000000000007</v>
      </c>
      <c r="D65">
        <v>220</v>
      </c>
      <c r="E65">
        <v>183</v>
      </c>
      <c r="F65" s="8">
        <v>195</v>
      </c>
      <c r="G65" s="8">
        <f t="shared" si="0"/>
        <v>162.20454545454547</v>
      </c>
      <c r="H65">
        <v>4.45</v>
      </c>
      <c r="I65">
        <v>1</v>
      </c>
      <c r="J65">
        <v>16</v>
      </c>
      <c r="K65">
        <v>13</v>
      </c>
      <c r="L65">
        <v>9</v>
      </c>
      <c r="M65" s="9">
        <v>62976</v>
      </c>
      <c r="N65" s="4" t="s">
        <v>33</v>
      </c>
    </row>
    <row r="66" spans="1:14">
      <c r="A66" s="6">
        <v>46449</v>
      </c>
      <c r="B66" t="s">
        <v>38</v>
      </c>
      <c r="C66" s="7">
        <v>0.83800000000000008</v>
      </c>
      <c r="D66">
        <v>220</v>
      </c>
      <c r="E66">
        <v>184</v>
      </c>
      <c r="F66" s="8">
        <v>197</v>
      </c>
      <c r="G66" s="8">
        <f t="shared" si="0"/>
        <v>164.76363636363635</v>
      </c>
      <c r="H66">
        <v>4.45</v>
      </c>
      <c r="I66">
        <v>1</v>
      </c>
      <c r="J66">
        <v>17</v>
      </c>
      <c r="K66">
        <v>14</v>
      </c>
      <c r="L66">
        <v>10</v>
      </c>
      <c r="M66" s="9">
        <v>63084</v>
      </c>
      <c r="N66" s="4" t="s">
        <v>33</v>
      </c>
    </row>
    <row r="67" spans="1:14">
      <c r="A67" s="6">
        <v>46450</v>
      </c>
      <c r="B67" t="s">
        <v>39</v>
      </c>
      <c r="C67" s="7">
        <v>0.84400000000000008</v>
      </c>
      <c r="D67">
        <v>220</v>
      </c>
      <c r="E67">
        <v>186</v>
      </c>
      <c r="F67" s="8">
        <v>199</v>
      </c>
      <c r="G67" s="8">
        <f t="shared" si="0"/>
        <v>168.24545454545455</v>
      </c>
      <c r="H67">
        <v>4.45</v>
      </c>
      <c r="I67">
        <v>1</v>
      </c>
      <c r="J67">
        <v>18</v>
      </c>
      <c r="K67">
        <v>15</v>
      </c>
      <c r="L67">
        <v>11</v>
      </c>
      <c r="M67" s="9">
        <v>63192</v>
      </c>
      <c r="N67" s="4" t="s">
        <v>33</v>
      </c>
    </row>
    <row r="68" spans="1:14">
      <c r="A68" s="6">
        <v>46451</v>
      </c>
      <c r="B68" t="s">
        <v>32</v>
      </c>
      <c r="C68" s="7">
        <v>0.70000000000000007</v>
      </c>
      <c r="D68">
        <v>220</v>
      </c>
      <c r="E68">
        <v>154</v>
      </c>
      <c r="F68" s="8">
        <v>155</v>
      </c>
      <c r="G68" s="8">
        <f t="shared" si="0"/>
        <v>108.5</v>
      </c>
      <c r="H68">
        <v>4.45</v>
      </c>
      <c r="I68">
        <v>1</v>
      </c>
      <c r="J68">
        <v>11</v>
      </c>
      <c r="K68">
        <v>9</v>
      </c>
      <c r="L68">
        <v>5</v>
      </c>
      <c r="M68" s="9">
        <v>54600</v>
      </c>
      <c r="N68" s="4" t="s">
        <v>33</v>
      </c>
    </row>
    <row r="69" spans="1:14">
      <c r="A69" s="6">
        <v>46452</v>
      </c>
      <c r="B69" t="s">
        <v>34</v>
      </c>
      <c r="C69" s="7">
        <v>0.70600000000000007</v>
      </c>
      <c r="D69">
        <v>220</v>
      </c>
      <c r="E69">
        <v>155</v>
      </c>
      <c r="F69" s="8">
        <v>157</v>
      </c>
      <c r="G69" s="8">
        <f t="shared" si="0"/>
        <v>110.61363636363636</v>
      </c>
      <c r="H69">
        <v>4.45</v>
      </c>
      <c r="I69">
        <v>1</v>
      </c>
      <c r="J69">
        <v>12</v>
      </c>
      <c r="K69">
        <v>10</v>
      </c>
      <c r="L69">
        <v>6</v>
      </c>
      <c r="M69" s="9">
        <v>54708</v>
      </c>
      <c r="N69" s="4" t="s">
        <v>33</v>
      </c>
    </row>
    <row r="70" spans="1:14">
      <c r="A70" s="6">
        <v>46453</v>
      </c>
      <c r="B70" t="s">
        <v>35</v>
      </c>
      <c r="C70" s="7">
        <v>0.63400000000000001</v>
      </c>
      <c r="D70">
        <v>220</v>
      </c>
      <c r="E70">
        <v>139</v>
      </c>
      <c r="F70" s="8">
        <v>159</v>
      </c>
      <c r="G70" s="8">
        <f t="shared" ref="G70:G94" si="1">E70*F70/D70</f>
        <v>100.4590909090909</v>
      </c>
      <c r="H70">
        <v>4.45</v>
      </c>
      <c r="I70">
        <v>1</v>
      </c>
      <c r="J70">
        <v>13</v>
      </c>
      <c r="K70">
        <v>6</v>
      </c>
      <c r="L70">
        <v>7</v>
      </c>
      <c r="M70" s="9">
        <v>53412</v>
      </c>
      <c r="N70" s="4" t="s">
        <v>33</v>
      </c>
    </row>
    <row r="71" spans="1:14">
      <c r="A71" s="6">
        <v>46454</v>
      </c>
      <c r="B71" t="s">
        <v>36</v>
      </c>
      <c r="C71" s="7">
        <v>0.64</v>
      </c>
      <c r="D71">
        <v>220</v>
      </c>
      <c r="E71">
        <v>141</v>
      </c>
      <c r="F71" s="8">
        <v>161</v>
      </c>
      <c r="G71" s="8">
        <f t="shared" si="1"/>
        <v>103.18636363636364</v>
      </c>
      <c r="H71">
        <v>4.45</v>
      </c>
      <c r="I71">
        <v>1</v>
      </c>
      <c r="J71">
        <v>8</v>
      </c>
      <c r="K71">
        <v>7</v>
      </c>
      <c r="L71">
        <v>8</v>
      </c>
      <c r="M71" s="9">
        <v>53520</v>
      </c>
      <c r="N71" s="4" t="s">
        <v>33</v>
      </c>
    </row>
    <row r="72" spans="1:14">
      <c r="A72" s="6">
        <v>46455</v>
      </c>
      <c r="B72" t="s">
        <v>37</v>
      </c>
      <c r="C72" s="7">
        <v>0.79600000000000004</v>
      </c>
      <c r="D72">
        <v>220</v>
      </c>
      <c r="E72">
        <v>175</v>
      </c>
      <c r="F72" s="8">
        <v>191</v>
      </c>
      <c r="G72" s="8">
        <f t="shared" si="1"/>
        <v>151.93181818181819</v>
      </c>
      <c r="H72">
        <v>4.45</v>
      </c>
      <c r="I72">
        <v>1</v>
      </c>
      <c r="J72">
        <v>17</v>
      </c>
      <c r="K72">
        <v>8</v>
      </c>
      <c r="L72">
        <v>9</v>
      </c>
      <c r="M72" s="9">
        <v>62328</v>
      </c>
      <c r="N72" s="4" t="s">
        <v>33</v>
      </c>
    </row>
    <row r="73" spans="1:14">
      <c r="A73" s="6">
        <v>46456</v>
      </c>
      <c r="B73" t="s">
        <v>38</v>
      </c>
      <c r="C73" s="7">
        <v>0.83</v>
      </c>
      <c r="D73">
        <v>220</v>
      </c>
      <c r="E73">
        <v>183</v>
      </c>
      <c r="F73" s="8">
        <v>193</v>
      </c>
      <c r="G73" s="8">
        <f t="shared" si="1"/>
        <v>160.54090909090908</v>
      </c>
      <c r="H73">
        <v>3.55</v>
      </c>
      <c r="I73">
        <v>15</v>
      </c>
      <c r="J73">
        <v>18</v>
      </c>
      <c r="K73">
        <v>12</v>
      </c>
      <c r="L73">
        <v>45</v>
      </c>
      <c r="M73" s="9">
        <v>62436</v>
      </c>
      <c r="N73" s="4" t="s">
        <v>43</v>
      </c>
    </row>
    <row r="74" spans="1:14">
      <c r="A74" s="6">
        <v>46457</v>
      </c>
      <c r="B74" t="s">
        <v>39</v>
      </c>
      <c r="C74" s="7">
        <v>0.80800000000000005</v>
      </c>
      <c r="D74">
        <v>220</v>
      </c>
      <c r="E74">
        <v>178</v>
      </c>
      <c r="F74" s="8">
        <v>195</v>
      </c>
      <c r="G74" s="8">
        <f t="shared" si="1"/>
        <v>157.77272727272728</v>
      </c>
      <c r="H74">
        <v>4.45</v>
      </c>
      <c r="I74">
        <v>1</v>
      </c>
      <c r="J74">
        <v>19</v>
      </c>
      <c r="K74">
        <v>10</v>
      </c>
      <c r="L74">
        <v>11</v>
      </c>
      <c r="M74" s="9">
        <v>62544</v>
      </c>
      <c r="N74" s="4" t="s">
        <v>33</v>
      </c>
    </row>
    <row r="75" spans="1:14">
      <c r="A75" s="6">
        <v>46458</v>
      </c>
      <c r="B75" t="s">
        <v>32</v>
      </c>
      <c r="C75" s="7">
        <v>0.66400000000000003</v>
      </c>
      <c r="D75">
        <v>220</v>
      </c>
      <c r="E75">
        <v>146</v>
      </c>
      <c r="F75" s="8">
        <v>169</v>
      </c>
      <c r="G75" s="8">
        <f t="shared" si="1"/>
        <v>112.15454545454546</v>
      </c>
      <c r="H75">
        <v>4.45</v>
      </c>
      <c r="I75">
        <v>1</v>
      </c>
      <c r="J75">
        <v>12</v>
      </c>
      <c r="K75">
        <v>6</v>
      </c>
      <c r="L75">
        <v>5</v>
      </c>
      <c r="M75" s="9">
        <v>53952</v>
      </c>
      <c r="N75" s="4" t="s">
        <v>33</v>
      </c>
    </row>
    <row r="76" spans="1:14">
      <c r="A76" s="6">
        <v>46459</v>
      </c>
      <c r="B76" t="s">
        <v>34</v>
      </c>
      <c r="C76" s="7">
        <v>0.67</v>
      </c>
      <c r="D76">
        <v>220</v>
      </c>
      <c r="E76">
        <v>147</v>
      </c>
      <c r="F76" s="8">
        <v>171</v>
      </c>
      <c r="G76" s="8">
        <f t="shared" si="1"/>
        <v>114.25909090909092</v>
      </c>
      <c r="H76">
        <v>4.45</v>
      </c>
      <c r="I76">
        <v>1</v>
      </c>
      <c r="J76">
        <v>13</v>
      </c>
      <c r="K76">
        <v>7</v>
      </c>
      <c r="L76">
        <v>6</v>
      </c>
      <c r="M76" s="9">
        <v>54060</v>
      </c>
      <c r="N76" s="4" t="s">
        <v>33</v>
      </c>
    </row>
    <row r="77" spans="1:14">
      <c r="A77" s="6">
        <v>46460</v>
      </c>
      <c r="B77" t="s">
        <v>35</v>
      </c>
      <c r="C77" s="7">
        <v>0.67600000000000005</v>
      </c>
      <c r="D77">
        <v>220</v>
      </c>
      <c r="E77">
        <v>149</v>
      </c>
      <c r="F77" s="8">
        <v>155</v>
      </c>
      <c r="G77" s="8">
        <f t="shared" si="1"/>
        <v>104.97727272727273</v>
      </c>
      <c r="H77">
        <v>4.45</v>
      </c>
      <c r="I77">
        <v>1</v>
      </c>
      <c r="J77">
        <v>8</v>
      </c>
      <c r="K77">
        <v>8</v>
      </c>
      <c r="L77">
        <v>7</v>
      </c>
      <c r="M77" s="9">
        <v>54168</v>
      </c>
      <c r="N77" s="4" t="s">
        <v>33</v>
      </c>
    </row>
    <row r="78" spans="1:14">
      <c r="A78" s="6">
        <v>46461</v>
      </c>
      <c r="B78" t="s">
        <v>36</v>
      </c>
      <c r="C78" s="7">
        <v>0.68200000000000005</v>
      </c>
      <c r="D78">
        <v>220</v>
      </c>
      <c r="E78">
        <v>150</v>
      </c>
      <c r="F78" s="8">
        <v>157</v>
      </c>
      <c r="G78" s="8">
        <f t="shared" si="1"/>
        <v>107.04545454545455</v>
      </c>
      <c r="H78">
        <v>4.45</v>
      </c>
      <c r="I78">
        <v>1</v>
      </c>
      <c r="J78">
        <v>9</v>
      </c>
      <c r="K78">
        <v>9</v>
      </c>
      <c r="L78">
        <v>8</v>
      </c>
      <c r="M78" s="9">
        <v>54276</v>
      </c>
      <c r="N78" s="4" t="s">
        <v>33</v>
      </c>
    </row>
    <row r="79" spans="1:14">
      <c r="A79" s="6">
        <v>46462</v>
      </c>
      <c r="B79" t="s">
        <v>37</v>
      </c>
      <c r="C79" s="7">
        <v>0.83800000000000008</v>
      </c>
      <c r="D79">
        <v>220</v>
      </c>
      <c r="E79">
        <v>184</v>
      </c>
      <c r="F79" s="8">
        <v>187</v>
      </c>
      <c r="G79" s="8">
        <f t="shared" si="1"/>
        <v>156.4</v>
      </c>
      <c r="H79">
        <v>4.45</v>
      </c>
      <c r="I79">
        <v>1</v>
      </c>
      <c r="J79">
        <v>18</v>
      </c>
      <c r="K79">
        <v>17</v>
      </c>
      <c r="L79">
        <v>9</v>
      </c>
      <c r="M79" s="9">
        <v>63084</v>
      </c>
      <c r="N79" s="4" t="s">
        <v>33</v>
      </c>
    </row>
    <row r="80" spans="1:14">
      <c r="A80" s="6">
        <v>46463</v>
      </c>
      <c r="B80" t="s">
        <v>38</v>
      </c>
      <c r="C80" s="7">
        <v>0.84400000000000008</v>
      </c>
      <c r="D80">
        <v>220</v>
      </c>
      <c r="E80">
        <v>186</v>
      </c>
      <c r="F80" s="8">
        <v>189</v>
      </c>
      <c r="G80" s="8">
        <f t="shared" si="1"/>
        <v>159.79090909090908</v>
      </c>
      <c r="H80">
        <v>4.45</v>
      </c>
      <c r="I80">
        <v>1</v>
      </c>
      <c r="J80">
        <v>19</v>
      </c>
      <c r="K80">
        <v>13</v>
      </c>
      <c r="L80">
        <v>10</v>
      </c>
      <c r="M80" s="9">
        <v>63192</v>
      </c>
      <c r="N80" s="4" t="s">
        <v>33</v>
      </c>
    </row>
    <row r="81" spans="1:14">
      <c r="A81" s="6">
        <v>46464</v>
      </c>
      <c r="B81" t="s">
        <v>39</v>
      </c>
      <c r="C81" s="7">
        <v>0.88</v>
      </c>
      <c r="D81">
        <v>220</v>
      </c>
      <c r="E81">
        <v>194</v>
      </c>
      <c r="F81" s="8">
        <v>191</v>
      </c>
      <c r="G81" s="8">
        <f t="shared" si="1"/>
        <v>168.42727272727274</v>
      </c>
      <c r="H81">
        <v>4.4000000000000004</v>
      </c>
      <c r="I81">
        <v>4</v>
      </c>
      <c r="J81">
        <v>72</v>
      </c>
      <c r="K81">
        <v>9</v>
      </c>
      <c r="L81">
        <v>8</v>
      </c>
      <c r="M81" s="9">
        <v>63300</v>
      </c>
      <c r="N81" s="4" t="s">
        <v>44</v>
      </c>
    </row>
    <row r="82" spans="1:14">
      <c r="A82" s="6">
        <v>46465</v>
      </c>
      <c r="B82" t="s">
        <v>32</v>
      </c>
      <c r="C82" s="7">
        <v>0.70600000000000007</v>
      </c>
      <c r="D82">
        <v>220</v>
      </c>
      <c r="E82">
        <v>155</v>
      </c>
      <c r="F82" s="8">
        <v>165</v>
      </c>
      <c r="G82" s="8">
        <f t="shared" si="1"/>
        <v>116.25</v>
      </c>
      <c r="H82">
        <v>4.45</v>
      </c>
      <c r="I82">
        <v>1</v>
      </c>
      <c r="J82">
        <v>13</v>
      </c>
      <c r="K82">
        <v>8</v>
      </c>
      <c r="L82">
        <v>5</v>
      </c>
      <c r="M82" s="9">
        <v>54708</v>
      </c>
      <c r="N82" s="4" t="s">
        <v>33</v>
      </c>
    </row>
    <row r="83" spans="1:14">
      <c r="A83" s="6">
        <v>46466</v>
      </c>
      <c r="B83" t="s">
        <v>34</v>
      </c>
      <c r="C83" s="7">
        <v>0.63400000000000001</v>
      </c>
      <c r="D83">
        <v>220</v>
      </c>
      <c r="E83">
        <v>139</v>
      </c>
      <c r="F83" s="8">
        <v>167</v>
      </c>
      <c r="G83" s="8">
        <f t="shared" si="1"/>
        <v>105.51363636363637</v>
      </c>
      <c r="H83">
        <v>4.45</v>
      </c>
      <c r="I83">
        <v>1</v>
      </c>
      <c r="J83">
        <v>8</v>
      </c>
      <c r="K83">
        <v>9</v>
      </c>
      <c r="L83">
        <v>6</v>
      </c>
      <c r="M83" s="9">
        <v>53412</v>
      </c>
      <c r="N83" s="4" t="s">
        <v>33</v>
      </c>
    </row>
    <row r="84" spans="1:14">
      <c r="A84" s="6">
        <v>46467</v>
      </c>
      <c r="B84" t="s">
        <v>35</v>
      </c>
      <c r="C84" s="7">
        <v>0.64</v>
      </c>
      <c r="D84">
        <v>220</v>
      </c>
      <c r="E84">
        <v>141</v>
      </c>
      <c r="F84" s="8">
        <v>169</v>
      </c>
      <c r="G84" s="8">
        <f t="shared" si="1"/>
        <v>108.31363636363636</v>
      </c>
      <c r="H84">
        <v>4.45</v>
      </c>
      <c r="I84">
        <v>1</v>
      </c>
      <c r="J84">
        <v>9</v>
      </c>
      <c r="K84">
        <v>10</v>
      </c>
      <c r="L84">
        <v>7</v>
      </c>
      <c r="M84" s="9">
        <v>53520</v>
      </c>
      <c r="N84" s="4" t="s">
        <v>33</v>
      </c>
    </row>
    <row r="85" spans="1:14">
      <c r="A85" s="6">
        <v>46468</v>
      </c>
      <c r="B85" t="s">
        <v>36</v>
      </c>
      <c r="C85" s="7">
        <v>0.64600000000000002</v>
      </c>
      <c r="D85">
        <v>220</v>
      </c>
      <c r="E85">
        <v>142</v>
      </c>
      <c r="F85" s="8">
        <v>171</v>
      </c>
      <c r="G85" s="8">
        <f t="shared" si="1"/>
        <v>110.37272727272727</v>
      </c>
      <c r="H85">
        <v>4.45</v>
      </c>
      <c r="I85">
        <v>1</v>
      </c>
      <c r="J85">
        <v>10</v>
      </c>
      <c r="K85">
        <v>6</v>
      </c>
      <c r="L85">
        <v>8</v>
      </c>
      <c r="M85" s="9">
        <v>53628</v>
      </c>
      <c r="N85" s="4" t="s">
        <v>33</v>
      </c>
    </row>
    <row r="86" spans="1:14">
      <c r="A86" s="6">
        <v>46469</v>
      </c>
      <c r="B86" t="s">
        <v>37</v>
      </c>
      <c r="C86" s="7">
        <v>0.80200000000000005</v>
      </c>
      <c r="D86">
        <v>220</v>
      </c>
      <c r="E86">
        <v>176</v>
      </c>
      <c r="F86" s="8">
        <v>183</v>
      </c>
      <c r="G86" s="8">
        <f t="shared" si="1"/>
        <v>146.4</v>
      </c>
      <c r="H86">
        <v>4.45</v>
      </c>
      <c r="I86">
        <v>1</v>
      </c>
      <c r="J86">
        <v>19</v>
      </c>
      <c r="K86">
        <v>7</v>
      </c>
      <c r="L86">
        <v>9</v>
      </c>
      <c r="M86" s="9">
        <v>62436</v>
      </c>
      <c r="N86" s="4" t="s">
        <v>33</v>
      </c>
    </row>
    <row r="87" spans="1:14">
      <c r="A87" s="6">
        <v>46470</v>
      </c>
      <c r="B87" t="s">
        <v>38</v>
      </c>
      <c r="C87" s="7">
        <v>0.80800000000000005</v>
      </c>
      <c r="D87">
        <v>220</v>
      </c>
      <c r="E87">
        <v>178</v>
      </c>
      <c r="F87" s="8">
        <v>185</v>
      </c>
      <c r="G87" s="8">
        <f t="shared" si="1"/>
        <v>149.68181818181819</v>
      </c>
      <c r="H87">
        <v>4.45</v>
      </c>
      <c r="I87">
        <v>1</v>
      </c>
      <c r="J87">
        <v>20</v>
      </c>
      <c r="K87">
        <v>8</v>
      </c>
      <c r="L87">
        <v>10</v>
      </c>
      <c r="M87" s="9">
        <v>62544</v>
      </c>
      <c r="N87" s="4" t="s">
        <v>33</v>
      </c>
    </row>
    <row r="88" spans="1:14">
      <c r="A88" s="6">
        <v>46471</v>
      </c>
      <c r="B88" t="s">
        <v>39</v>
      </c>
      <c r="C88" s="7">
        <v>0.81400000000000006</v>
      </c>
      <c r="D88">
        <v>220</v>
      </c>
      <c r="E88">
        <v>179</v>
      </c>
      <c r="F88" s="8">
        <v>187</v>
      </c>
      <c r="G88" s="8">
        <f t="shared" si="1"/>
        <v>152.15</v>
      </c>
      <c r="H88">
        <v>4.45</v>
      </c>
      <c r="I88">
        <v>1</v>
      </c>
      <c r="J88">
        <v>21</v>
      </c>
      <c r="K88">
        <v>9</v>
      </c>
      <c r="L88">
        <v>11</v>
      </c>
      <c r="M88" s="9">
        <v>62652</v>
      </c>
      <c r="N88" s="4" t="s">
        <v>33</v>
      </c>
    </row>
    <row r="89" spans="1:14">
      <c r="A89" s="6">
        <v>46472</v>
      </c>
      <c r="B89" t="s">
        <v>32</v>
      </c>
      <c r="C89" s="7">
        <v>0.67</v>
      </c>
      <c r="D89">
        <v>220</v>
      </c>
      <c r="E89">
        <v>147</v>
      </c>
      <c r="F89" s="8">
        <v>161</v>
      </c>
      <c r="G89" s="8">
        <f t="shared" si="1"/>
        <v>107.57727272727273</v>
      </c>
      <c r="H89">
        <v>4.45</v>
      </c>
      <c r="I89">
        <v>1</v>
      </c>
      <c r="J89">
        <v>8</v>
      </c>
      <c r="K89">
        <v>10</v>
      </c>
      <c r="L89">
        <v>5</v>
      </c>
      <c r="M89" s="9">
        <v>54060</v>
      </c>
      <c r="N89" s="4" t="s">
        <v>33</v>
      </c>
    </row>
    <row r="90" spans="1:14">
      <c r="A90" s="6">
        <v>46473</v>
      </c>
      <c r="B90" t="s">
        <v>34</v>
      </c>
      <c r="C90" s="7">
        <v>0.67600000000000005</v>
      </c>
      <c r="D90">
        <v>220</v>
      </c>
      <c r="E90">
        <v>149</v>
      </c>
      <c r="F90" s="8">
        <v>163</v>
      </c>
      <c r="G90" s="8">
        <f t="shared" si="1"/>
        <v>110.39545454545454</v>
      </c>
      <c r="H90">
        <v>4.1000000000000005</v>
      </c>
      <c r="I90">
        <v>1</v>
      </c>
      <c r="J90">
        <v>9</v>
      </c>
      <c r="K90">
        <v>6</v>
      </c>
      <c r="L90">
        <v>6</v>
      </c>
      <c r="M90" s="9">
        <v>54168</v>
      </c>
      <c r="N90" s="4" t="s">
        <v>33</v>
      </c>
    </row>
    <row r="91" spans="1:14">
      <c r="A91" s="6">
        <v>46474</v>
      </c>
      <c r="B91" t="s">
        <v>35</v>
      </c>
      <c r="C91" s="7">
        <v>0.68200000000000005</v>
      </c>
      <c r="D91">
        <v>220</v>
      </c>
      <c r="E91">
        <v>150</v>
      </c>
      <c r="F91" s="8">
        <v>165</v>
      </c>
      <c r="G91" s="8">
        <f t="shared" si="1"/>
        <v>112.5</v>
      </c>
      <c r="H91">
        <v>4.45</v>
      </c>
      <c r="I91">
        <v>1</v>
      </c>
      <c r="J91">
        <v>10</v>
      </c>
      <c r="K91">
        <v>7</v>
      </c>
      <c r="L91">
        <v>7</v>
      </c>
      <c r="M91" s="9">
        <v>54276</v>
      </c>
      <c r="N91" s="4" t="s">
        <v>33</v>
      </c>
    </row>
    <row r="92" spans="1:14">
      <c r="A92" s="6">
        <v>46475</v>
      </c>
      <c r="B92" t="s">
        <v>36</v>
      </c>
      <c r="C92" s="7">
        <v>0.68800000000000006</v>
      </c>
      <c r="D92">
        <v>220</v>
      </c>
      <c r="E92">
        <v>151</v>
      </c>
      <c r="F92" s="8">
        <v>167</v>
      </c>
      <c r="G92" s="8">
        <f t="shared" si="1"/>
        <v>114.62272727272727</v>
      </c>
      <c r="H92">
        <v>4.45</v>
      </c>
      <c r="I92">
        <v>1</v>
      </c>
      <c r="J92">
        <v>11</v>
      </c>
      <c r="K92">
        <v>8</v>
      </c>
      <c r="L92">
        <v>8</v>
      </c>
      <c r="M92" s="9">
        <v>54384</v>
      </c>
      <c r="N92" s="4" t="s">
        <v>33</v>
      </c>
    </row>
    <row r="93" spans="1:14">
      <c r="A93" s="6">
        <v>46476</v>
      </c>
      <c r="B93" t="s">
        <v>37</v>
      </c>
      <c r="C93" s="7">
        <v>0.84400000000000008</v>
      </c>
      <c r="D93">
        <v>220</v>
      </c>
      <c r="E93">
        <v>186</v>
      </c>
      <c r="F93" s="8">
        <v>197</v>
      </c>
      <c r="G93" s="8">
        <f t="shared" si="1"/>
        <v>166.55454545454546</v>
      </c>
      <c r="H93">
        <v>4.45</v>
      </c>
      <c r="I93">
        <v>1</v>
      </c>
      <c r="J93">
        <v>20</v>
      </c>
      <c r="K93">
        <v>16</v>
      </c>
      <c r="L93">
        <v>9</v>
      </c>
      <c r="M93" s="9">
        <v>63192</v>
      </c>
      <c r="N93" s="4" t="s">
        <v>33</v>
      </c>
    </row>
    <row r="94" spans="1:14">
      <c r="A94" s="6">
        <v>46477</v>
      </c>
      <c r="B94" t="s">
        <v>38</v>
      </c>
      <c r="C94" s="7">
        <v>0.85000000000000009</v>
      </c>
      <c r="D94">
        <v>220</v>
      </c>
      <c r="E94">
        <v>187</v>
      </c>
      <c r="F94" s="8">
        <v>199</v>
      </c>
      <c r="G94" s="8">
        <f t="shared" si="1"/>
        <v>169.15</v>
      </c>
      <c r="H94">
        <v>4.2700000000000005</v>
      </c>
      <c r="I94">
        <v>1</v>
      </c>
      <c r="J94">
        <v>21</v>
      </c>
      <c r="K94">
        <v>17</v>
      </c>
      <c r="L94">
        <v>10</v>
      </c>
      <c r="M94" s="9">
        <v>63300</v>
      </c>
      <c r="N94" s="4" t="s">
        <v>33</v>
      </c>
    </row>
  </sheetData>
  <mergeCells count="2">
    <mergeCell ref="A1:N1"/>
    <mergeCell ref="A2:N2"/>
  </mergeCells>
  <conditionalFormatting sqref="A5:N94">
    <cfRule type="expression" dxfId="7" priority="1">
      <formula>OR($H5&lt;3.8,$J5&gt;40,$K5&gt;25,$L5&gt;35)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0C33-65B6-49A4-ADE1-545DB51CECD4}">
  <dimension ref="A1:H9"/>
  <sheetViews>
    <sheetView workbookViewId="0"/>
  </sheetViews>
  <sheetFormatPr defaultRowHeight="15"/>
  <cols>
    <col min="1" max="1" width="22.85546875" customWidth="1"/>
    <col min="2" max="2" width="81.85546875" customWidth="1"/>
    <col min="3" max="3" width="53.28515625" customWidth="1"/>
  </cols>
  <sheetData>
    <row r="1" spans="1:8" ht="30" customHeight="1">
      <c r="A1" s="10" t="s">
        <v>45</v>
      </c>
      <c r="B1" s="10"/>
      <c r="C1" s="10"/>
      <c r="D1" s="10"/>
      <c r="E1" s="10"/>
      <c r="F1" s="10"/>
      <c r="G1" s="10"/>
      <c r="H1" s="10"/>
    </row>
    <row r="2" spans="1:8" ht="27.75" customHeight="1">
      <c r="A2" s="1" t="s">
        <v>46</v>
      </c>
      <c r="B2" s="1"/>
      <c r="C2" s="1"/>
      <c r="D2" s="1"/>
      <c r="E2" s="1"/>
      <c r="F2" s="1"/>
      <c r="G2" s="1"/>
      <c r="H2" s="1"/>
    </row>
    <row r="4" spans="1:8" ht="27.75" customHeight="1">
      <c r="A4" s="5" t="s">
        <v>47</v>
      </c>
      <c r="B4" s="5" t="s">
        <v>48</v>
      </c>
      <c r="C4" s="5" t="s">
        <v>49</v>
      </c>
    </row>
    <row r="5" spans="1:8" ht="183">
      <c r="A5" s="2" t="s">
        <v>50</v>
      </c>
      <c r="B5" s="4" t="s">
        <v>51</v>
      </c>
      <c r="C5" s="4" t="s">
        <v>52</v>
      </c>
    </row>
    <row r="6" spans="1:8" ht="152.25">
      <c r="A6" s="2" t="s">
        <v>53</v>
      </c>
      <c r="B6" s="4" t="s">
        <v>54</v>
      </c>
      <c r="C6" s="4" t="s">
        <v>55</v>
      </c>
    </row>
    <row r="7" spans="1:8" ht="106.5">
      <c r="A7" s="2" t="s">
        <v>56</v>
      </c>
      <c r="B7" s="4" t="s">
        <v>57</v>
      </c>
      <c r="C7" s="4" t="s">
        <v>58</v>
      </c>
    </row>
    <row r="8" spans="1:8" ht="106.5">
      <c r="A8" s="2" t="s">
        <v>59</v>
      </c>
      <c r="B8" s="4" t="s">
        <v>60</v>
      </c>
      <c r="C8" s="4" t="s">
        <v>61</v>
      </c>
    </row>
    <row r="9" spans="1:8" ht="91.5">
      <c r="A9" s="2" t="s">
        <v>62</v>
      </c>
      <c r="B9" s="4" t="s">
        <v>63</v>
      </c>
      <c r="C9" s="4" t="s">
        <v>64</v>
      </c>
    </row>
  </sheetData>
  <mergeCells count="2">
    <mergeCell ref="A1:H1"/>
    <mergeCell ref="A2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Nuttapong Wong-aree</cp:lastModifiedBy>
  <cp:revision/>
  <dcterms:created xsi:type="dcterms:W3CDTF">2026-10-24T10:45:12Z</dcterms:created>
  <dcterms:modified xsi:type="dcterms:W3CDTF">2026-10-24T10:47:05Z</dcterms:modified>
  <cp:category/>
  <cp:contentStatus/>
</cp:coreProperties>
</file>