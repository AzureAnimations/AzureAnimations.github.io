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3"/>
  <workbookPr filterPrivacy="1"/>
  <xr:revisionPtr revIDLastSave="0" documentId="8_{A2BE65CB-A56E-46A6-92A5-74F1446A6ED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onthly Performance" sheetId="1" r:id="rId1"/>
    <sheet name="Event Operations" sheetId="2" r:id="rId2"/>
    <sheet name="Management Not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" l="1"/>
  <c r="F11" i="2"/>
  <c r="E11" i="2"/>
  <c r="D11" i="2"/>
  <c r="C11" i="2"/>
  <c r="B11" i="2"/>
  <c r="F13" i="1"/>
  <c r="E13" i="1"/>
  <c r="D13" i="1"/>
  <c r="C13" i="1"/>
  <c r="B13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<sst xmlns="http://schemas.openxmlformats.org/spreadsheetml/2006/main" count="67" uniqueCount="61">
  <si>
    <t>Hotel Performance Data - Fictional Training Scenario</t>
  </si>
  <si>
    <t>Synthetic source data for the PowerPoint: Tell the Story workshop. Values are illustrative and not real hotel results.</t>
  </si>
  <si>
    <t>Month</t>
  </si>
  <si>
    <t>Occupancy Rate</t>
  </si>
  <si>
    <t>Guest Rating</t>
  </si>
  <si>
    <t>Conference Bookings</t>
  </si>
  <si>
    <t>Event Revenue</t>
  </si>
  <si>
    <t>Operating Cost</t>
  </si>
  <si>
    <t>Operating Margin</t>
  </si>
  <si>
    <t>Maintenance Tickets</t>
  </si>
  <si>
    <t>April</t>
  </si>
  <si>
    <t>May</t>
  </si>
  <si>
    <t>June</t>
  </si>
  <si>
    <t>July</t>
  </si>
  <si>
    <t>August</t>
  </si>
  <si>
    <t>September</t>
  </si>
  <si>
    <t>Summary</t>
  </si>
  <si>
    <t>Six-month result</t>
  </si>
  <si>
    <t>Conference and Event Operations - Fictional Training Scenario</t>
  </si>
  <si>
    <t>Event Type</t>
  </si>
  <si>
    <t>Events Held</t>
  </si>
  <si>
    <t>Average Guests</t>
  </si>
  <si>
    <t>Setup Issues</t>
  </si>
  <si>
    <t>Catering Delays</t>
  </si>
  <si>
    <t>Repeat Booking Requests</t>
  </si>
  <si>
    <t>Leadership Conference</t>
  </si>
  <si>
    <t>Corporate Training</t>
  </si>
  <si>
    <t>Awards Dinner</t>
  </si>
  <si>
    <t>Association Meeting</t>
  </si>
  <si>
    <t>Product Launch</t>
  </si>
  <si>
    <t>Executive Retreat</t>
  </si>
  <si>
    <t>Total / Average</t>
  </si>
  <si>
    <t>Management Notes - Fictional Training Scenario</t>
  </si>
  <si>
    <t>Area</t>
  </si>
  <si>
    <t>What is going well</t>
  </si>
  <si>
    <t>Area to improve</t>
  </si>
  <si>
    <t>Presentation caution</t>
  </si>
  <si>
    <t>Guest experience</t>
  </si>
  <si>
    <t>September guest rating is the strongest month in the dataset.</t>
  </si>
  <si>
    <t>Ratings softened in July and August.</t>
  </si>
  <si>
    <t>Do not claim a cause unless the data supports it.</t>
  </si>
  <si>
    <t>Conference demand</t>
  </si>
  <si>
    <t>Conference bookings increased across the period and reached the highest level in September.</t>
  </si>
  <si>
    <t>Confirm whether growth can be supported with current staffing.</t>
  </si>
  <si>
    <t>Bookings do not equal completed revenue until the event occurs.</t>
  </si>
  <si>
    <t>Event operations</t>
  </si>
  <si>
    <t>Leadership conferences and executive retreats have strong guest ratings.</t>
  </si>
  <si>
    <t>Product launches show more setup issues and the lowest event rating.</t>
  </si>
  <si>
    <t>Use the event-type table, not assumptions about customer importance.</t>
  </si>
  <si>
    <t>Maintenance</t>
  </si>
  <si>
    <t>Tickets fell in September after a high level in August.</t>
  </si>
  <si>
    <t>Investigate the July-August increase and whether it affected guest ratings.</t>
  </si>
  <si>
    <t>The dataset shows timing, not proven causation.</t>
  </si>
  <si>
    <t>Costs</t>
  </si>
  <si>
    <t>Operating margin remains positive in every month.</t>
  </si>
  <si>
    <t>Operating cost rose during the busiest months.</t>
  </si>
  <si>
    <t>Present both revenue and cost; do not show revenue alone.</t>
  </si>
  <si>
    <t>Board message</t>
  </si>
  <si>
    <t>Performance improved by September, with higher occupancy, bookings, rating, and margin.</t>
  </si>
  <si>
    <t>Protect service quality while demand increases.</t>
  </si>
  <si>
    <t>Label all values as fictional training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</si>
</sst>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$&quot;#,##0"/>
  </numFmts>
  <fonts count="6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sz val="11"/>
      <color rgb="FF5C4A20"/>
      <name val="Arial"/>
    </font>
    <font>
      <sz val="11"/>
      <color theme="1"/>
      <name val="Arial"/>
    </font>
    <font>
      <b/>
      <sz val="11"/>
      <color rgb="FFFFFFFF"/>
      <name val="Arial"/>
    </font>
    <font>
      <b/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E8E6F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17365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4" fillId="4" borderId="1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9" fontId="3" fillId="5" borderId="0" xfId="0" applyNumberFormat="1" applyFont="1" applyFill="1" applyAlignment="1">
      <alignment vertical="center"/>
    </xf>
    <xf numFmtId="164" fontId="3" fillId="5" borderId="0" xfId="0" applyNumberFormat="1" applyFont="1" applyFill="1" applyAlignment="1">
      <alignment vertical="center"/>
    </xf>
    <xf numFmtId="165" fontId="3" fillId="5" borderId="0" xfId="0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0" fontId="5" fillId="6" borderId="0" xfId="0" applyFont="1" applyFill="1" applyAlignment="1">
      <alignment vertical="center"/>
    </xf>
    <xf numFmtId="9" fontId="5" fillId="6" borderId="0" xfId="0" applyNumberFormat="1" applyFont="1" applyFill="1" applyAlignment="1">
      <alignment vertical="center"/>
    </xf>
    <xf numFmtId="164" fontId="5" fillId="6" borderId="0" xfId="0" applyNumberFormat="1" applyFont="1" applyFill="1" applyAlignment="1">
      <alignment vertical="center"/>
    </xf>
    <xf numFmtId="1" fontId="5" fillId="6" borderId="0" xfId="0" applyNumberFormat="1" applyFont="1" applyFill="1" applyAlignment="1">
      <alignment vertical="center"/>
    </xf>
    <xf numFmtId="165" fontId="5" fillId="6" borderId="0" xfId="0" applyNumberFormat="1" applyFont="1" applyFill="1" applyAlignment="1">
      <alignment vertical="center"/>
    </xf>
    <xf numFmtId="0" fontId="4" fillId="4" borderId="1" xfId="0" applyFont="1" applyFill="1" applyBorder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3" fillId="5" borderId="0" xfId="0" applyFont="1" applyFill="1" applyAlignment="1">
      <alignment vertical="center" wrapText="1"/>
    </xf>
    <xf numFmtId="164" fontId="3" fillId="5" borderId="0" xfId="0" applyNumberFormat="1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0" fontId="5" fillId="6" borderId="0" xfId="0" applyFont="1" applyFill="1" applyAlignment="1">
      <alignment vertical="center" wrapText="1"/>
    </xf>
    <xf numFmtId="164" fontId="5" fillId="6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7FAFC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7FAFC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7FAFC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7FAFC"/>
        </patternFill>
      </fill>
      <alignment horizontal="general" vertical="top" textRotation="0" wrapText="1" indent="0" justifyLastLine="0" shrinkToFit="0" readingOrder="0"/>
    </dxf>
    <dxf>
      <border>
        <bottom style="thin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7FAFC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2F75B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7FAFC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7FAFC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7FAFC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0.0"/>
      <fill>
        <patternFill patternType="solid">
          <fgColor indexed="64"/>
          <bgColor rgb="FFF7FAFC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7FAFC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7FAFC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7FAFC"/>
        </patternFill>
      </fill>
      <alignment horizontal="general" vertical="center" textRotation="0" wrapText="1" indent="0" justifyLastLine="0" shrinkToFit="0" readingOrder="0"/>
    </dxf>
    <dxf>
      <border>
        <bottom style="thin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7FAFC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7FAFC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5" formatCode="&quot;$&quot;#,##0"/>
      <fill>
        <patternFill patternType="solid">
          <fgColor indexed="64"/>
          <bgColor rgb="FFF7FAFC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5" formatCode="&quot;$&quot;#,##0"/>
      <fill>
        <patternFill patternType="solid">
          <fgColor indexed="64"/>
          <bgColor rgb="FFF7FAFC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5" formatCode="&quot;$&quot;#,##0"/>
      <fill>
        <patternFill patternType="solid">
          <fgColor indexed="64"/>
          <bgColor rgb="FFF7FAFC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7FAFC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0.0"/>
      <fill>
        <patternFill patternType="solid">
          <fgColor indexed="64"/>
          <bgColor rgb="FFF7FAFC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3" formatCode="0%"/>
      <fill>
        <patternFill patternType="solid">
          <fgColor indexed="64"/>
          <bgColor rgb="FFF7FAFC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7FAFC"/>
        </patternFill>
      </fill>
      <alignment horizontal="general" vertical="center" textRotation="0" wrapText="0" indent="0" justifyLastLine="0" shrinkToFit="0" readingOrder="0"/>
    </dxf>
    <dxf>
      <border>
        <bottom style="thin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7FAFC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DEFF77-C9D9-4E31-8C30-5113AA73CEDE}" name="Table1" displayName="Table1" ref="A4:H10" totalsRowShown="0" headerRowDxfId="27" dataDxfId="26" headerRowBorderDxfId="25">
  <autoFilter ref="A4:H10" xr:uid="{13DEFF77-C9D9-4E31-8C30-5113AA73CEDE}"/>
  <tableColumns count="8">
    <tableColumn id="1" xr3:uid="{B750B1B4-BC7F-4E14-8D35-C73A957975C8}" name="Month" dataDxfId="24"/>
    <tableColumn id="2" xr3:uid="{ADC01E6F-0C64-4654-8E04-A5FAE89F51F8}" name="Occupancy Rate" dataDxfId="23"/>
    <tableColumn id="3" xr3:uid="{79FE95E0-BDB2-4422-BCB0-A7C7B1D94EE8}" name="Guest Rating" dataDxfId="22"/>
    <tableColumn id="4" xr3:uid="{E43CB6EA-B4B2-4775-9DE2-0ED5D594FACF}" name="Conference Bookings" dataDxfId="21"/>
    <tableColumn id="5" xr3:uid="{5491677F-391B-4E1C-BCB2-93CD75EC3594}" name="Event Revenue" dataDxfId="20"/>
    <tableColumn id="6" xr3:uid="{B084673D-F4BC-4501-B6B2-783CB7B49587}" name="Operating Cost" dataDxfId="19"/>
    <tableColumn id="7" xr3:uid="{AEA6FB7D-AE8C-4995-8CB1-E286730DECA1}" name="Operating Margin" dataDxfId="18">
      <calculatedColumnFormula>E5-F5</calculatedColumnFormula>
    </tableColumn>
    <tableColumn id="8" xr3:uid="{9642FDA6-3472-46AC-A71A-54E8F1AFEFB4}" name="Maintenance Tickets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141ACA-07AE-4232-8F2F-3839157C17A7}" name="Table2" displayName="Table2" ref="A3:G9" totalsRowShown="0" headerRowDxfId="16" dataDxfId="15" headerRowBorderDxfId="14">
  <autoFilter ref="A3:G9" xr:uid="{EE141ACA-07AE-4232-8F2F-3839157C17A7}"/>
  <tableColumns count="7">
    <tableColumn id="1" xr3:uid="{69BA1755-91B9-4985-B438-5DC4674B86BF}" name="Event Type" dataDxfId="13"/>
    <tableColumn id="2" xr3:uid="{493A00CD-F77F-4905-8F39-DF70AD6D305C}" name="Events Held" dataDxfId="12"/>
    <tableColumn id="3" xr3:uid="{82BDFC22-BFC3-41B2-AD8C-1D2E9807B27E}" name="Average Guests" dataDxfId="11"/>
    <tableColumn id="4" xr3:uid="{7BA6E7DB-D924-4CB5-9266-E62043DECC54}" name="Guest Rating" dataDxfId="10"/>
    <tableColumn id="5" xr3:uid="{FA71B462-FFA4-4BB0-A0AF-A9463F31927B}" name="Setup Issues" dataDxfId="9"/>
    <tableColumn id="6" xr3:uid="{FF71CE61-6EE8-4174-8318-1F2408DDB1E6}" name="Catering Delays" dataDxfId="8"/>
    <tableColumn id="7" xr3:uid="{511761D0-0A60-4BDE-9A64-D24F1B5D237B}" name="Repeat Booking Requests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D31E2F-48DF-4464-AD76-DB77E59F2AA2}" name="Table3" displayName="Table3" ref="A3:D9" totalsRowShown="0" headerRowDxfId="6" dataDxfId="5" headerRowBorderDxfId="4">
  <autoFilter ref="A3:D9" xr:uid="{E0D31E2F-48DF-4464-AD76-DB77E59F2AA2}"/>
  <tableColumns count="4">
    <tableColumn id="1" xr3:uid="{F3F15829-AA52-4C3D-8D20-FB003B264CFA}" name="Area" dataDxfId="3"/>
    <tableColumn id="2" xr3:uid="{3BC9321F-2E83-4707-B477-8ADD755EA68A}" name="What is going well" dataDxfId="2"/>
    <tableColumn id="3" xr3:uid="{D86CF3C5-DD85-484B-A5A7-CDF2847E5BF2}" name="Area to improve" dataDxfId="1"/>
    <tableColumn id="4" xr3:uid="{40C24B8F-4962-46D0-989A-550755E47441}" name="Presentation cau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Normal="100" zoomScaleSheetLayoutView="100" workbookViewId="0"/>
  </sheetViews>
  <sheetFormatPr defaultRowHeight="15"/>
  <cols>
    <col min="1" max="1" width="18.140625" customWidth="1"/>
    <col min="2" max="3" width="17.140625" customWidth="1"/>
    <col min="4" max="4" width="20" customWidth="1"/>
    <col min="5" max="7" width="19" customWidth="1"/>
    <col min="8" max="8" width="20" customWidth="1"/>
  </cols>
  <sheetData>
    <row r="1" spans="1:8" ht="27.75" customHeight="1">
      <c r="A1" s="21" t="s">
        <v>0</v>
      </c>
      <c r="B1" s="21"/>
      <c r="C1" s="21"/>
      <c r="D1" s="21"/>
      <c r="E1" s="21"/>
      <c r="F1" s="21"/>
      <c r="G1" s="21"/>
      <c r="H1" s="21"/>
    </row>
    <row r="2" spans="1:8" ht="33.75" customHeight="1">
      <c r="A2" s="22" t="s">
        <v>1</v>
      </c>
      <c r="B2" s="22"/>
      <c r="C2" s="22"/>
      <c r="D2" s="22"/>
      <c r="E2" s="22"/>
      <c r="F2" s="22"/>
      <c r="G2" s="22"/>
      <c r="H2" s="22"/>
    </row>
    <row r="3" spans="1:8">
      <c r="A3" s="1"/>
      <c r="B3" s="1"/>
      <c r="C3" s="1"/>
      <c r="D3" s="1"/>
      <c r="E3" s="1"/>
      <c r="F3" s="1"/>
      <c r="G3" s="1"/>
      <c r="H3" s="1"/>
    </row>
    <row r="4" spans="1:8" ht="32.25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>
      <c r="A5" s="3" t="s">
        <v>10</v>
      </c>
      <c r="B5" s="4">
        <v>0.72</v>
      </c>
      <c r="C5" s="5">
        <v>4.2</v>
      </c>
      <c r="D5" s="3">
        <v>8</v>
      </c>
      <c r="E5" s="6">
        <v>184000</v>
      </c>
      <c r="F5" s="6">
        <v>132000</v>
      </c>
      <c r="G5" s="6">
        <f>E5-F5</f>
        <v>52000</v>
      </c>
      <c r="H5" s="3">
        <v>31</v>
      </c>
    </row>
    <row r="6" spans="1:8">
      <c r="A6" s="3" t="s">
        <v>11</v>
      </c>
      <c r="B6" s="4">
        <v>0.76</v>
      </c>
      <c r="C6" s="5">
        <v>4.3</v>
      </c>
      <c r="D6" s="3">
        <v>10</v>
      </c>
      <c r="E6" s="6">
        <v>216000</v>
      </c>
      <c r="F6" s="6">
        <v>148000</v>
      </c>
      <c r="G6" s="6">
        <f t="shared" ref="G6:G10" si="0">E6-F6</f>
        <v>68000</v>
      </c>
      <c r="H6" s="3">
        <v>28</v>
      </c>
    </row>
    <row r="7" spans="1:8">
      <c r="A7" s="3" t="s">
        <v>12</v>
      </c>
      <c r="B7" s="4">
        <v>0.81</v>
      </c>
      <c r="C7" s="5">
        <v>4.4000000000000004</v>
      </c>
      <c r="D7" s="3">
        <v>12</v>
      </c>
      <c r="E7" s="6">
        <v>258000</v>
      </c>
      <c r="F7" s="6">
        <v>169000</v>
      </c>
      <c r="G7" s="6">
        <f t="shared" si="0"/>
        <v>89000</v>
      </c>
      <c r="H7" s="3">
        <v>24</v>
      </c>
    </row>
    <row r="8" spans="1:8">
      <c r="A8" s="3" t="s">
        <v>13</v>
      </c>
      <c r="B8" s="4">
        <v>0.84</v>
      </c>
      <c r="C8" s="5">
        <v>4.0999999999999996</v>
      </c>
      <c r="D8" s="3">
        <v>14</v>
      </c>
      <c r="E8" s="6">
        <v>286000</v>
      </c>
      <c r="F8" s="6">
        <v>198000</v>
      </c>
      <c r="G8" s="6">
        <f t="shared" si="0"/>
        <v>88000</v>
      </c>
      <c r="H8" s="3">
        <v>39</v>
      </c>
    </row>
    <row r="9" spans="1:8">
      <c r="A9" s="3" t="s">
        <v>14</v>
      </c>
      <c r="B9" s="4">
        <v>0.79</v>
      </c>
      <c r="C9" s="5">
        <v>4</v>
      </c>
      <c r="D9" s="3">
        <v>11</v>
      </c>
      <c r="E9" s="6">
        <v>244000</v>
      </c>
      <c r="F9" s="6">
        <v>181000</v>
      </c>
      <c r="G9" s="6">
        <f t="shared" si="0"/>
        <v>63000</v>
      </c>
      <c r="H9" s="3">
        <v>44</v>
      </c>
    </row>
    <row r="10" spans="1:8">
      <c r="A10" s="3" t="s">
        <v>15</v>
      </c>
      <c r="B10" s="4">
        <v>0.86</v>
      </c>
      <c r="C10" s="5">
        <v>4.5</v>
      </c>
      <c r="D10" s="3">
        <v>15</v>
      </c>
      <c r="E10" s="6">
        <v>318000</v>
      </c>
      <c r="F10" s="6">
        <v>207000</v>
      </c>
      <c r="G10" s="6">
        <f t="shared" si="0"/>
        <v>111000</v>
      </c>
      <c r="H10" s="3">
        <v>22</v>
      </c>
    </row>
    <row r="11" spans="1:8">
      <c r="A11" s="7"/>
      <c r="B11" s="7"/>
      <c r="C11" s="7"/>
      <c r="D11" s="7"/>
      <c r="E11" s="7"/>
      <c r="F11" s="7"/>
      <c r="G11" s="7"/>
      <c r="H11" s="7"/>
    </row>
    <row r="12" spans="1:8" ht="32.25" customHeight="1">
      <c r="A12" s="2" t="s">
        <v>16</v>
      </c>
      <c r="B12" s="2" t="s">
        <v>3</v>
      </c>
      <c r="C12" s="2" t="s">
        <v>4</v>
      </c>
      <c r="D12" s="2" t="s">
        <v>5</v>
      </c>
      <c r="E12" s="2" t="s">
        <v>6</v>
      </c>
      <c r="F12" s="2" t="s">
        <v>8</v>
      </c>
      <c r="G12" s="7"/>
      <c r="H12" s="7"/>
    </row>
    <row r="13" spans="1:8">
      <c r="A13" s="8" t="s">
        <v>17</v>
      </c>
      <c r="B13" s="9">
        <f>AVERAGE(B5:B10)</f>
        <v>0.79666666666666675</v>
      </c>
      <c r="C13" s="10">
        <f>AVERAGE(C5:C10)</f>
        <v>4.25</v>
      </c>
      <c r="D13" s="11">
        <f>SUM(D5:D10)</f>
        <v>70</v>
      </c>
      <c r="E13" s="12">
        <f>SUM(E5:E10)</f>
        <v>1506000</v>
      </c>
      <c r="F13" s="12">
        <f>SUM(G5:G10)</f>
        <v>471000</v>
      </c>
      <c r="G13" s="7"/>
      <c r="H13" s="7"/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1D57A-4BC4-48EC-BDB5-7E858B53853D}">
  <dimension ref="A1:G11"/>
  <sheetViews>
    <sheetView workbookViewId="0"/>
  </sheetViews>
  <sheetFormatPr defaultRowHeight="15"/>
  <cols>
    <col min="1" max="1" width="24.7109375" customWidth="1"/>
    <col min="2" max="7" width="18.140625" customWidth="1"/>
  </cols>
  <sheetData>
    <row r="1" spans="1:7" ht="27.75" customHeight="1">
      <c r="A1" s="21" t="s">
        <v>18</v>
      </c>
      <c r="B1" s="21"/>
      <c r="C1" s="21"/>
      <c r="D1" s="21"/>
      <c r="E1" s="21"/>
      <c r="F1" s="21"/>
      <c r="G1" s="21"/>
    </row>
    <row r="2" spans="1:7">
      <c r="A2" s="1"/>
      <c r="B2" s="1"/>
      <c r="C2" s="1"/>
      <c r="D2" s="1"/>
      <c r="E2" s="1"/>
      <c r="F2" s="1"/>
      <c r="G2" s="1"/>
    </row>
    <row r="3" spans="1:7" ht="32.25" customHeight="1">
      <c r="A3" s="2" t="s">
        <v>19</v>
      </c>
      <c r="B3" s="2" t="s">
        <v>20</v>
      </c>
      <c r="C3" s="2" t="s">
        <v>21</v>
      </c>
      <c r="D3" s="2" t="s">
        <v>4</v>
      </c>
      <c r="E3" s="2" t="s">
        <v>22</v>
      </c>
      <c r="F3" s="2" t="s">
        <v>23</v>
      </c>
      <c r="G3" s="2" t="s">
        <v>24</v>
      </c>
    </row>
    <row r="4" spans="1:7">
      <c r="A4" s="15" t="s">
        <v>25</v>
      </c>
      <c r="B4" s="15">
        <v>5</v>
      </c>
      <c r="C4" s="15">
        <v>132</v>
      </c>
      <c r="D4" s="16">
        <v>4.5</v>
      </c>
      <c r="E4" s="15">
        <v>2</v>
      </c>
      <c r="F4" s="15">
        <v>1</v>
      </c>
      <c r="G4" s="15">
        <v>4</v>
      </c>
    </row>
    <row r="5" spans="1:7">
      <c r="A5" s="15" t="s">
        <v>26</v>
      </c>
      <c r="B5" s="15">
        <v>11</v>
      </c>
      <c r="C5" s="15">
        <v>46</v>
      </c>
      <c r="D5" s="16">
        <v>4.4000000000000004</v>
      </c>
      <c r="E5" s="15">
        <v>3</v>
      </c>
      <c r="F5" s="15">
        <v>2</v>
      </c>
      <c r="G5" s="15">
        <v>8</v>
      </c>
    </row>
    <row r="6" spans="1:7">
      <c r="A6" s="15" t="s">
        <v>27</v>
      </c>
      <c r="B6" s="15">
        <v>4</v>
      </c>
      <c r="C6" s="15">
        <v>178</v>
      </c>
      <c r="D6" s="16">
        <v>4.2</v>
      </c>
      <c r="E6" s="15">
        <v>4</v>
      </c>
      <c r="F6" s="15">
        <v>2</v>
      </c>
      <c r="G6" s="15">
        <v>3</v>
      </c>
    </row>
    <row r="7" spans="1:7">
      <c r="A7" s="15" t="s">
        <v>28</v>
      </c>
      <c r="B7" s="15">
        <v>8</v>
      </c>
      <c r="C7" s="15">
        <v>84</v>
      </c>
      <c r="D7" s="16">
        <v>4.3</v>
      </c>
      <c r="E7" s="15">
        <v>2</v>
      </c>
      <c r="F7" s="15">
        <v>1</v>
      </c>
      <c r="G7" s="15">
        <v>6</v>
      </c>
    </row>
    <row r="8" spans="1:7">
      <c r="A8" s="15" t="s">
        <v>29</v>
      </c>
      <c r="B8" s="15">
        <v>3</v>
      </c>
      <c r="C8" s="15">
        <v>156</v>
      </c>
      <c r="D8" s="16">
        <v>3.9</v>
      </c>
      <c r="E8" s="15">
        <v>5</v>
      </c>
      <c r="F8" s="15">
        <v>1</v>
      </c>
      <c r="G8" s="15">
        <v>1</v>
      </c>
    </row>
    <row r="9" spans="1:7">
      <c r="A9" s="15" t="s">
        <v>30</v>
      </c>
      <c r="B9" s="15">
        <v>6</v>
      </c>
      <c r="C9" s="15">
        <v>34</v>
      </c>
      <c r="D9" s="16">
        <v>4.5999999999999996</v>
      </c>
      <c r="E9" s="15">
        <v>1</v>
      </c>
      <c r="F9" s="15">
        <v>0</v>
      </c>
      <c r="G9" s="15">
        <v>5</v>
      </c>
    </row>
    <row r="10" spans="1:7">
      <c r="A10" s="17"/>
      <c r="B10" s="17"/>
      <c r="C10" s="17"/>
      <c r="D10" s="18"/>
      <c r="E10" s="17"/>
      <c r="F10" s="17"/>
      <c r="G10" s="17"/>
    </row>
    <row r="11" spans="1:7">
      <c r="A11" s="19" t="s">
        <v>31</v>
      </c>
      <c r="B11" s="19">
        <f>SUM(B4:B9)</f>
        <v>37</v>
      </c>
      <c r="C11" s="19">
        <f>AVERAGE(C4:C9)</f>
        <v>105</v>
      </c>
      <c r="D11" s="20">
        <f>AVERAGE(D4:D9)</f>
        <v>4.3166666666666664</v>
      </c>
      <c r="E11" s="19">
        <f>SUM(E4:E9)</f>
        <v>17</v>
      </c>
      <c r="F11" s="19">
        <f>SUM(F4:F9)</f>
        <v>7</v>
      </c>
      <c r="G11" s="19">
        <f>SUM(G4:G9)</f>
        <v>27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6730C-F7B9-4CE2-9F90-5740214FD61F}">
  <dimension ref="A1:D9"/>
  <sheetViews>
    <sheetView workbookViewId="0"/>
  </sheetViews>
  <sheetFormatPr defaultRowHeight="15"/>
  <cols>
    <col min="1" max="1" width="20" customWidth="1"/>
    <col min="2" max="4" width="35.28515625" customWidth="1"/>
  </cols>
  <sheetData>
    <row r="1" spans="1:4" ht="27.75" customHeight="1">
      <c r="A1" s="21" t="s">
        <v>32</v>
      </c>
      <c r="B1" s="21"/>
      <c r="C1" s="21"/>
      <c r="D1" s="21"/>
    </row>
    <row r="2" spans="1:4">
      <c r="A2" s="1"/>
      <c r="B2" s="1"/>
      <c r="C2" s="1"/>
      <c r="D2" s="1"/>
    </row>
    <row r="3" spans="1:4" ht="32.25" customHeight="1">
      <c r="A3" s="13" t="s">
        <v>33</v>
      </c>
      <c r="B3" s="13" t="s">
        <v>34</v>
      </c>
      <c r="C3" s="13" t="s">
        <v>35</v>
      </c>
      <c r="D3" s="13" t="s">
        <v>36</v>
      </c>
    </row>
    <row r="4" spans="1:4" ht="28.5">
      <c r="A4" s="14" t="s">
        <v>37</v>
      </c>
      <c r="B4" s="14" t="s">
        <v>38</v>
      </c>
      <c r="C4" s="14" t="s">
        <v>39</v>
      </c>
      <c r="D4" s="14" t="s">
        <v>40</v>
      </c>
    </row>
    <row r="5" spans="1:4" ht="43.5">
      <c r="A5" s="14" t="s">
        <v>41</v>
      </c>
      <c r="B5" s="14" t="s">
        <v>42</v>
      </c>
      <c r="C5" s="14" t="s">
        <v>43</v>
      </c>
      <c r="D5" s="14" t="s">
        <v>44</v>
      </c>
    </row>
    <row r="6" spans="1:4" ht="43.5">
      <c r="A6" s="14" t="s">
        <v>45</v>
      </c>
      <c r="B6" s="14" t="s">
        <v>46</v>
      </c>
      <c r="C6" s="14" t="s">
        <v>47</v>
      </c>
      <c r="D6" s="14" t="s">
        <v>48</v>
      </c>
    </row>
    <row r="7" spans="1:4" ht="43.5">
      <c r="A7" s="14" t="s">
        <v>49</v>
      </c>
      <c r="B7" s="14" t="s">
        <v>50</v>
      </c>
      <c r="C7" s="14" t="s">
        <v>51</v>
      </c>
      <c r="D7" s="14" t="s">
        <v>52</v>
      </c>
    </row>
    <row r="8" spans="1:4" ht="28.5">
      <c r="A8" s="14" t="s">
        <v>53</v>
      </c>
      <c r="B8" s="14" t="s">
        <v>54</v>
      </c>
      <c r="C8" s="14" t="s">
        <v>55</v>
      </c>
      <c r="D8" s="14" t="s">
        <v>56</v>
      </c>
    </row>
    <row r="9" spans="1:4" ht="43.5">
      <c r="A9" s="14" t="s">
        <v>57</v>
      </c>
      <c r="B9" s="14" t="s">
        <v>58</v>
      </c>
      <c r="C9" s="14" t="s">
        <v>59</v>
      </c>
      <c r="D9" s="14" t="s">
        <v>60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2026-10-23T04:05:31Z</dcterms:created>
  <dcterms:modified xsi:type="dcterms:W3CDTF">2026-10-23T05:27:00Z</dcterms:modified>
  <cp:category/>
  <cp:contentStatus/>
</cp:coreProperties>
</file>